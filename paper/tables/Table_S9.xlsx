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fde5173d2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ormance comparison" sheetId="1" r:id="R6d3ef2ecd78b4988"/>
    <x:sheet xmlns:r="http://schemas.openxmlformats.org/officeDocument/2006/relationships" name="Task outcomes" sheetId="2" r:id="Rc79a23f865f8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"/>
  </x:numFmts>
  <x:fonts count="5">
    <x:font>
      <x:sz val="11"/>
      <x:name val="Carlito"/>
    </x:font>
    <x:font>
      <x:sz val="11"/>
      <x:color rgb="FF171717"/>
      <x:name val="Arial"/>
    </x:font>
    <x:font>
      <x:b/>
      <x:sz val="14"/>
      <x:color rgb="FF171717"/>
      <x:name val="Arial"/>
    </x:font>
    <x:font>
      <x:b/>
      <x:sz val="11"/>
      <x:color rgb="FF171717"/>
      <x:name val="Arial"/>
    </x:font>
    <x:font>
      <x:b/>
      <x:sz val="12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1">
    <x:border/>
    <x:border>
      <x:right style="thin">
        <x:color rgb="FFCCCCCC"/>
      </x:right>
      <x:top style="medium">
        <x:color rgb="FF222222"/>
      </x:top>
      <x:bottom style="thin">
        <x:color rgb="FF555555"/>
      </x:bottom>
    </x:border>
    <x:border>
      <x:left style="thin">
        <x:color rgb="FFCCCCCC"/>
      </x:left>
      <x:right style="thin">
        <x:color rgb="FFCCCCCC"/>
      </x:right>
      <x:top style="medium">
        <x:color rgb="FF222222"/>
      </x:top>
      <x:bottom style="thin">
        <x:color rgb="FF555555"/>
      </x:bottom>
    </x:border>
    <x:border>
      <x:left style="thin">
        <x:color rgb="FFCCCCCC"/>
      </x:left>
      <x:top style="medium">
        <x:color rgb="FF222222"/>
      </x:top>
      <x:bottom style="thin">
        <x:color rgb="FF555555"/>
      </x:bottom>
    </x:border>
    <x:border>
      <x:right style="thin">
        <x:color rgb="FFE0E0E0"/>
      </x:right>
      <x:bottom style="thin">
        <x:color rgb="FFBBBBBB"/>
      </x:bottom>
    </x:border>
    <x:border>
      <x:left style="thin">
        <x:color rgb="FFE0E0E0"/>
      </x:left>
      <x:right style="thin">
        <x:color rgb="FFE0E0E0"/>
      </x:right>
      <x:bottom style="thin">
        <x:color rgb="FFBBBBBB"/>
      </x:bottom>
    </x:border>
    <x:border>
      <x:left style="thin">
        <x:color rgb="FFE0E0E0"/>
      </x:left>
      <x:bottom style="thin">
        <x:color rgb="FFBBBBBB"/>
      </x:bottom>
    </x:border>
    <x:border>
      <x:right style="thin">
        <x:color rgb="FFE0E0E0"/>
      </x:right>
      <x:top style="thin">
        <x:color rgb="FFBBBBBB"/>
      </x:top>
      <x:bottom style="thin">
        <x:color rgb="FFBBBBBB"/>
      </x:bottom>
    </x:border>
    <x:border>
      <x:left style="thin">
        <x:color rgb="FFE0E0E0"/>
      </x:left>
      <x:right style="thin">
        <x:color rgb="FFE0E0E0"/>
      </x:right>
      <x:top style="thin">
        <x:color rgb="FFBBBBBB"/>
      </x:top>
      <x:bottom style="thin">
        <x:color rgb="FFBBBBBB"/>
      </x:bottom>
    </x:border>
    <x:border>
      <x:left style="thin">
        <x:color rgb="FFE0E0E0"/>
      </x:left>
      <x:top style="thin">
        <x:color rgb="FFBBBBBB"/>
      </x:top>
      <x:bottom style="thin">
        <x:color rgb="FFBBBBBB"/>
      </x:bottom>
    </x:border>
    <x:border>
      <x:right style="thin">
        <x:color rgb="FFE0E0E0"/>
      </x:right>
      <x:top style="thin">
        <x:color rgb="FFBBBBBB"/>
      </x:top>
      <x:bottom style="medium">
        <x:color rgb="FF333333"/>
      </x:bottom>
    </x:border>
    <x:border>
      <x:left style="thin">
        <x:color rgb="FFE0E0E0"/>
      </x:left>
      <x:right style="thin">
        <x:color rgb="FFE0E0E0"/>
      </x:right>
      <x:top style="thin">
        <x:color rgb="FFBBBBBB"/>
      </x:top>
      <x:bottom style="medium">
        <x:color rgb="FF333333"/>
      </x:bottom>
    </x:border>
    <x:border>
      <x:left style="thin">
        <x:color rgb="FFE0E0E0"/>
      </x:left>
      <x:top style="thin">
        <x:color rgb="FFBBBBBB"/>
      </x:top>
      <x:bottom style="medium">
        <x:color rgb="FF333333"/>
      </x:bottom>
    </x:border>
    <x:border>
      <x:right style="thin">
        <x:color rgb="FFCCCCCC"/>
      </x:right>
      <x:top style="medium">
        <x:color rgb="FF222222"/>
      </x:top>
    </x:border>
    <x:border>
      <x:left style="thin">
        <x:color rgb="FFCCCCCC"/>
      </x:left>
      <x:right style="thin">
        <x:color rgb="FFCCCCCC"/>
      </x:right>
      <x:top style="medium">
        <x:color rgb="FF222222"/>
      </x:top>
    </x:border>
    <x:border>
      <x:left style="thin">
        <x:color rgb="FFCCCCCC"/>
      </x:left>
      <x:top style="medium">
        <x:color rgb="FF222222"/>
      </x:top>
    </x:border>
    <x:border>
      <x:right style="thin">
        <x:color rgb="FFCCCCCC"/>
      </x:right>
      <x:bottom style="thin">
        <x:color rgb="FF555555"/>
      </x:bottom>
    </x:border>
    <x:border>
      <x:left style="thin">
        <x:color rgb="FFCCCCCC"/>
      </x:left>
      <x:right style="thin">
        <x:color rgb="FFCCCCCC"/>
      </x:right>
      <x:bottom style="thin">
        <x:color rgb="FF555555"/>
      </x:bottom>
    </x:border>
    <x:border>
      <x:left style="thin">
        <x:color rgb="FFCCCCCC"/>
      </x:left>
      <x:bottom style="thin">
        <x:color rgb="FF555555"/>
      </x:bottom>
    </x:border>
    <x:border>
      <x:right style="thin">
        <x:color rgb="FFE0E0E0"/>
      </x:right>
      <x:top style="medium">
        <x:color rgb="FF555555"/>
      </x:top>
      <x:bottom style="medium">
        <x:color rgb="FF333333"/>
      </x:bottom>
    </x:border>
    <x:border>
      <x:left style="thin">
        <x:color rgb="FFE0E0E0"/>
      </x:left>
      <x:right style="thin">
        <x:color rgb="FFE0E0E0"/>
      </x:right>
      <x:top style="medium">
        <x:color rgb="FF555555"/>
      </x:top>
      <x:bottom style="medium">
        <x:color rgb="FF333333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1" fontId="1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left" vertical="center" wrapText="1"/>
    </x:xf>
    <x:xf numFmtId="200" fontId="1" fillId="2" borderId="5" xfId="0" applyNumberFormat="1" applyFont="1" applyFill="1" applyBorder="1" applyAlignment="1">
      <x:alignment horizontal="left" vertical="center" wrapText="1"/>
    </x:xf>
    <x:xf numFmtId="201" fontId="1" fillId="2" borderId="5" xfId="0" applyNumberFormat="1" applyFont="1" applyFill="1" applyBorder="1" applyAlignment="1">
      <x:alignment horizontal="left" vertical="center" wrapText="1"/>
    </x:xf>
    <x:xf numFmtId="201" fontId="1" fillId="2" borderId="6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left" vertical="center" wrapText="1"/>
    </x:xf>
    <x:xf numFmtId="200" fontId="1" fillId="2" borderId="8" xfId="0" applyNumberFormat="1" applyFont="1" applyFill="1" applyBorder="1" applyAlignment="1">
      <x:alignment horizontal="left" vertical="center" wrapText="1"/>
    </x:xf>
    <x:xf numFmtId="201" fontId="1" fillId="2" borderId="8" xfId="0" applyNumberFormat="1" applyFont="1" applyFill="1" applyBorder="1" applyAlignment="1">
      <x:alignment horizontal="left" vertical="center" wrapText="1"/>
    </x:xf>
    <x:xf numFmtId="201" fontId="1" fillId="2" borderId="9" xfId="0" applyNumberFormat="1" applyFont="1" applyFill="1" applyBorder="1" applyAlignment="1">
      <x:alignment horizontal="left" vertical="center" wrapText="1"/>
    </x:xf>
    <x:xf numFmtId="0" fontId="1" fillId="2" borderId="10" xfId="0" applyNumberFormat="1" applyFont="1" applyFill="1" applyBorder="1" applyAlignment="1">
      <x:alignment horizontal="left" vertical="center" wrapText="1"/>
    </x:xf>
    <x:xf numFmtId="200" fontId="1" fillId="2" borderId="11" xfId="0" applyNumberFormat="1" applyFont="1" applyFill="1" applyBorder="1" applyAlignment="1">
      <x:alignment horizontal="left" vertical="center" wrapText="1"/>
    </x:xf>
    <x:xf numFmtId="201" fontId="1" fillId="2" borderId="11" xfId="0" applyNumberFormat="1" applyFont="1" applyFill="1" applyBorder="1" applyAlignment="1">
      <x:alignment horizontal="left" vertical="center" wrapText="1"/>
    </x:xf>
    <x:xf numFmtId="201" fontId="1" fillId="2" borderId="12" xfId="0" applyNumberFormat="1" applyFont="1" applyFill="1" applyBorder="1" applyAlignment="1">
      <x:alignment horizontal="left"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3" fillId="2" borderId="7" xfId="0" applyNumberFormat="1" applyFont="1" applyFill="1" applyBorder="1" applyAlignment="1">
      <x:alignment horizontal="left" vertical="center" wrapText="1"/>
    </x:xf>
    <x:xf numFmtId="0" fontId="3" fillId="2" borderId="10" xfId="0" applyNumberFormat="1" applyFont="1" applyFill="1" applyBorder="1" applyAlignment="1">
      <x:alignment horizontal="left" vertical="center" wrapText="1"/>
    </x:xf>
    <x:xf numFmtId="200" fontId="1" fillId="2" borderId="5" xfId="0" applyNumberFormat="1" applyFont="1" applyFill="1" applyBorder="1" applyAlignment="1">
      <x:alignment horizontal="right" vertical="center" wrapText="1"/>
    </x:xf>
    <x:xf numFmtId="201" fontId="1" fillId="2" borderId="5" xfId="0" applyNumberFormat="1" applyFont="1" applyFill="1" applyBorder="1" applyAlignment="1">
      <x:alignment horizontal="right" vertical="center" wrapText="1"/>
    </x:xf>
    <x:xf numFmtId="201" fontId="1" fillId="2" borderId="6" xfId="0" applyNumberFormat="1" applyFont="1" applyFill="1" applyBorder="1" applyAlignment="1">
      <x:alignment horizontal="right" vertical="center" wrapText="1"/>
    </x:xf>
    <x:xf numFmtId="200" fontId="1" fillId="2" borderId="8" xfId="0" applyNumberFormat="1" applyFont="1" applyFill="1" applyBorder="1" applyAlignment="1">
      <x:alignment horizontal="right" vertical="center" wrapText="1"/>
    </x:xf>
    <x:xf numFmtId="201" fontId="1" fillId="2" borderId="8" xfId="0" applyNumberFormat="1" applyFont="1" applyFill="1" applyBorder="1" applyAlignment="1">
      <x:alignment horizontal="right" vertical="center" wrapText="1"/>
    </x:xf>
    <x:xf numFmtId="201" fontId="1" fillId="2" borderId="9" xfId="0" applyNumberFormat="1" applyFont="1" applyFill="1" applyBorder="1" applyAlignment="1">
      <x:alignment horizontal="right" vertical="center" wrapText="1"/>
    </x:xf>
    <x:xf numFmtId="200" fontId="1" fillId="2" borderId="11" xfId="0" applyNumberFormat="1" applyFont="1" applyFill="1" applyBorder="1" applyAlignment="1">
      <x:alignment horizontal="right" vertical="center" wrapText="1"/>
    </x:xf>
    <x:xf numFmtId="201" fontId="1" fillId="2" borderId="11" xfId="0" applyNumberFormat="1" applyFont="1" applyFill="1" applyBorder="1" applyAlignment="1">
      <x:alignment horizontal="right" vertical="center" wrapText="1"/>
    </x:xf>
    <x:xf numFmtId="201" fontId="1" fillId="2" borderId="12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3" fillId="2" borderId="13" xfId="0" applyNumberFormat="1" applyFont="1" applyFill="1" applyBorder="1" applyAlignment="1">
      <x:alignment horizontal="left" vertical="center" wrapText="1"/>
    </x:xf>
    <x:xf numFmtId="0" fontId="3" fillId="2" borderId="14" xfId="0" applyNumberFormat="1" applyFont="1" applyFill="1" applyBorder="1" applyAlignment="1">
      <x:alignment horizontal="left" vertical="center" wrapText="1"/>
    </x:xf>
    <x:xf numFmtId="0" fontId="3" fillId="2" borderId="15" xfId="0" applyNumberFormat="1" applyFont="1" applyFill="1" applyBorder="1" applyAlignment="1">
      <x:alignment horizontal="left" vertical="center" wrapText="1"/>
    </x:xf>
    <x:xf numFmtId="0" fontId="3" fillId="2" borderId="16" xfId="0" applyNumberFormat="1" applyFont="1" applyFill="1" applyBorder="1" applyAlignment="1">
      <x:alignment horizontal="left" vertical="center" wrapText="1"/>
    </x:xf>
    <x:xf numFmtId="0" fontId="3" fillId="2" borderId="17" xfId="0" applyNumberFormat="1" applyFont="1" applyFill="1" applyBorder="1" applyAlignment="1">
      <x:alignment horizontal="left" vertical="center" wrapText="1"/>
    </x:xf>
    <x:xf numFmtId="0" fontId="3" fillId="2" borderId="18" xfId="0" applyNumberFormat="1" applyFont="1" applyFill="1" applyBorder="1" applyAlignment="1">
      <x:alignment horizontal="left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left" vertical="center" wrapText="1"/>
    </x:xf>
    <x:xf numFmtId="202" fontId="1" fillId="2" borderId="5" xfId="0" applyNumberFormat="1" applyFont="1" applyFill="1" applyBorder="1" applyAlignment="1">
      <x:alignment horizontal="left" vertical="center" wrapText="1"/>
    </x:xf>
    <x:xf numFmtId="200" fontId="1" fillId="2" borderId="6" xfId="0" applyNumberFormat="1" applyFont="1" applyFill="1" applyBorder="1" applyAlignment="1">
      <x:alignment horizontal="left" vertical="center" wrapText="1"/>
    </x:xf>
    <x:xf numFmtId="202" fontId="1" fillId="2" borderId="8" xfId="0" applyNumberFormat="1" applyFont="1" applyFill="1" applyBorder="1" applyAlignment="1">
      <x:alignment horizontal="left" vertical="center" wrapText="1"/>
    </x:xf>
    <x:xf numFmtId="200" fontId="1" fillId="2" borderId="9" xfId="0" applyNumberFormat="1" applyFont="1" applyFill="1" applyBorder="1" applyAlignment="1">
      <x:alignment horizontal="left" vertical="center" wrapText="1"/>
    </x:xf>
    <x:xf numFmtId="202" fontId="1" fillId="2" borderId="11" xfId="0" applyNumberFormat="1" applyFont="1" applyFill="1" applyBorder="1" applyAlignment="1">
      <x:alignment horizontal="left" vertical="center" wrapText="1"/>
    </x:xf>
    <x:xf numFmtId="200" fontId="1" fillId="2" borderId="12" xfId="0" applyNumberFormat="1" applyFont="1" applyFill="1" applyBorder="1" applyAlignment="1">
      <x:alignment horizontal="left" vertical="center" wrapText="1"/>
    </x:xf>
    <x:xf numFmtId="202" fontId="1" fillId="2" borderId="5" xfId="0" applyNumberFormat="1" applyFont="1" applyFill="1" applyBorder="1" applyAlignment="1">
      <x:alignment horizontal="right" vertical="center" wrapText="1"/>
    </x:xf>
    <x:xf numFmtId="200" fontId="1" fillId="2" borderId="6" xfId="0" applyNumberFormat="1" applyFont="1" applyFill="1" applyBorder="1" applyAlignment="1">
      <x:alignment horizontal="right" vertical="center" wrapText="1"/>
    </x:xf>
    <x:xf numFmtId="202" fontId="1" fillId="2" borderId="8" xfId="0" applyNumberFormat="1" applyFont="1" applyFill="1" applyBorder="1" applyAlignment="1">
      <x:alignment horizontal="right" vertical="center" wrapText="1"/>
    </x:xf>
    <x:xf numFmtId="200" fontId="1" fillId="2" borderId="9" xfId="0" applyNumberFormat="1" applyFont="1" applyFill="1" applyBorder="1" applyAlignment="1">
      <x:alignment horizontal="right" vertical="center" wrapText="1"/>
    </x:xf>
    <x:xf numFmtId="202" fontId="1" fillId="2" borderId="11" xfId="0" applyNumberFormat="1" applyFont="1" applyFill="1" applyBorder="1" applyAlignment="1">
      <x:alignment horizontal="right" vertical="center" wrapText="1"/>
    </x:xf>
    <x:xf numFmtId="200" fontId="1" fillId="2" borderId="12" xfId="0" applyNumberFormat="1" applyFont="1" applyFill="1" applyBorder="1" applyAlignment="1">
      <x:alignment horizontal="right" vertical="center" wrapText="1"/>
    </x:xf>
    <x:xf numFmtId="202" fontId="3" fillId="2" borderId="11" xfId="0" applyNumberFormat="1" applyFont="1" applyFill="1" applyBorder="1" applyAlignment="1">
      <x:alignment horizontal="right" vertical="center" wrapText="1"/>
    </x:xf>
    <x:xf numFmtId="200" fontId="3" fillId="2" borderId="11" xfId="0" applyNumberFormat="1" applyFont="1" applyFill="1" applyBorder="1" applyAlignment="1">
      <x:alignment horizontal="right" vertical="center" wrapText="1"/>
    </x:xf>
    <x:xf numFmtId="200" fontId="3" fillId="2" borderId="12" xfId="0" applyNumberFormat="1" applyFont="1" applyFill="1" applyBorder="1" applyAlignment="1">
      <x:alignment horizontal="right" vertical="center" wrapText="1"/>
    </x:xf>
    <x:xf numFmtId="0" fontId="3" fillId="2" borderId="19" xfId="0" applyNumberFormat="1" applyFont="1" applyFill="1" applyBorder="1" applyAlignment="1">
      <x:alignment horizontal="left" vertical="center" wrapText="1"/>
    </x:xf>
    <x:xf numFmtId="202" fontId="3" fillId="2" borderId="20" xfId="0" applyNumberFormat="1" applyFont="1" applyFill="1" applyBorder="1" applyAlignment="1">
      <x:alignment horizontal="right" vertical="center" wrapText="1"/>
    </x:xf>
    <x:xf numFmtId="200" fontId="3" fillId="2" borderId="20" xfId="0" applyNumberFormat="1" applyFont="1" applyFill="1" applyBorder="1" applyAlignment="1">
      <x:alignment horizontal="right" vertical="center" wrapText="1"/>
    </x:xf>
    <x:xf numFmtId="0" fontId="1" fillId="2" borderId="5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1" fillId="2" borderId="11" xfId="0" applyNumberFormat="1" applyFont="1" applyFill="1" applyBorder="1" applyAlignment="1">
      <x:alignment horizontal="left" vertical="center" wrapText="1"/>
    </x:xf>
    <x:xf numFmtId="0" fontId="1" fillId="2" borderId="1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52e3c3e084f62" /><Relationship Type="http://schemas.openxmlformats.org/officeDocument/2006/relationships/theme" Target="/xl/theme/theme1.xml" Id="Rbbc88995b5bd4bdc" /><Relationship Type="http://schemas.openxmlformats.org/officeDocument/2006/relationships/sharedStrings" Target="/xl/sharedStrings.xml" Id="R121c3df4745c4594" /><Relationship Type="http://schemas.openxmlformats.org/officeDocument/2006/relationships/worksheet" Target="/xl/worksheets/sheet1.xml" Id="R6d3ef2ecd78b4988" /><Relationship Type="http://schemas.openxmlformats.org/officeDocument/2006/relationships/worksheet" Target="/xl/worksheets/sheet2.xml" Id="Rc79a23f865f84957" /></Relationships>
</file>

<file path=xl/tables/table1.xml><?xml version="1.0" encoding="utf-8"?>
<x:table xmlns:x="http://schemas.openxmlformats.org/spreadsheetml/2006/main" id="1" name="TableS9TaskOutcomes" displayName="TableS9TaskOutcomes" ref="A2:H102" headerRowCount="1" totalsRowCount="0" totalsRowShown="0">
  <x:autoFilter ref="A2:H102"/>
  <x:tableColumns count="8">
    <x:tableColumn id="1" name="Task ID"/>
    <x:tableColumn id="2" name="Original source task ID"/>
    <x:tableColumn id="3" name="Source benchmark"/>
    <x:tableColumn id="4" name="Subject"/>
    <x:tableColumn id="5" name="AutoBA"/>
    <x:tableColumn id="6" name="AutoBA*"/>
    <x:tableColumn id="7" name="BioMaster"/>
    <x:tableColumn id="8" name="BioMaster*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9e5f2255cc4a8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6.67000007629394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42" customHeight="1">
      <x:c r="A1" s="6" t="str">
        <x:v>Table S9. Baseline Tier performance of AutoBA and BioMaster before and after planning-oriented optimization.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8.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9" customHeight="1">
      <x:c r="A3" s="13" t="str">
        <x:v>Agent</x:v>
      </x:c>
      <x:c r="B3" s="14" t="str">
        <x:v>B1 Success rate</x:v>
      </x:c>
      <x:c r="C3" s="14"/>
      <x:c r="D3" s="14" t="str">
        <x:v>B3 Tokens
(k tokens / task)</x:v>
      </x:c>
      <x:c r="E3" s="14"/>
      <x:c r="F3" s="14" t="str">
        <x:v>B4 Time
(min / task)</x:v>
      </x:c>
      <x:c r="G3" s="14"/>
      <x:c r="H3" s="14" t="str">
        <x:v>B5 Turns
(turns / task)</x:v>
      </x:c>
      <x:c r="I3" s="14"/>
      <x:c r="J3" s="14" t="str">
        <x:v>B6 Cost
(USD / task)</x:v>
      </x:c>
      <x:c r="K3" s="14"/>
      <x:c r="L3" s="14" t="str">
        <x:v>B7 Cost
(USD / pass)</x:v>
      </x:c>
      <x:c r="M3" s="15"/>
    </x:row>
    <x:row r="4" ht="28.5" customHeight="1">
      <x:c r="A4" s="28" t="str">
        <x:v>AutoBA</x:v>
      </x:c>
      <x:c r="B4" s="31" t="n">
        <x:f>D28</x:f>
        <x:v>0.34</x:v>
      </x:c>
      <x:c r="C4" s="31"/>
      <x:c r="D4" s="31" t="n">
        <x:v>72.38</x:v>
      </x:c>
      <x:c r="E4" s="31"/>
      <x:c r="F4" s="31" t="n">
        <x:v>34.41</x:v>
      </x:c>
      <x:c r="G4" s="31"/>
      <x:c r="H4" s="31" t="n">
        <x:v>27.1</x:v>
      </x:c>
      <x:c r="I4" s="31"/>
      <x:c r="J4" s="32" t="n">
        <x:v>0.247</x:v>
      </x:c>
      <x:c r="K4" s="32"/>
      <x:c r="L4" s="32" t="n">
        <x:v>0.726</x:v>
      </x:c>
      <x:c r="M4" s="33"/>
    </x:row>
    <x:row r="5" ht="28.5" customHeight="1">
      <x:c r="A5" s="29" t="str">
        <x:v>AutoBA*</x:v>
      </x:c>
      <x:c r="B5" s="34" t="n">
        <x:f>G28</x:f>
        <x:v>0.55</x:v>
      </x:c>
      <x:c r="C5" s="34"/>
      <x:c r="D5" s="34" t="n">
        <x:v>188.13</x:v>
      </x:c>
      <x:c r="E5" s="34"/>
      <x:c r="F5" s="34" t="n">
        <x:v>29.04</x:v>
      </x:c>
      <x:c r="G5" s="34"/>
      <x:c r="H5" s="34" t="n">
        <x:v>47.32</x:v>
      </x:c>
      <x:c r="I5" s="34"/>
      <x:c r="J5" s="35" t="n">
        <x:v>0.68</x:v>
      </x:c>
      <x:c r="K5" s="35"/>
      <x:c r="L5" s="35" t="n">
        <x:v>1.236</x:v>
      </x:c>
      <x:c r="M5" s="36"/>
    </x:row>
    <x:row r="6" ht="28.5" customHeight="1">
      <x:c r="A6" s="29" t="str">
        <x:v>BioMaster</x:v>
      </x:c>
      <x:c r="B6" s="34" t="n">
        <x:f>J28</x:f>
        <x:v>0.05</x:v>
      </x:c>
      <x:c r="C6" s="34"/>
      <x:c r="D6" s="34" t="n">
        <x:v>68.92</x:v>
      </x:c>
      <x:c r="E6" s="34"/>
      <x:c r="F6" s="34" t="n">
        <x:v>14.81</x:v>
      </x:c>
      <x:c r="G6" s="34"/>
      <x:c r="H6" s="34" t="n">
        <x:v>7.77</x:v>
      </x:c>
      <x:c r="I6" s="34"/>
      <x:c r="J6" s="35" t="n">
        <x:v>0.267</x:v>
      </x:c>
      <x:c r="K6" s="35"/>
      <x:c r="L6" s="35" t="n">
        <x:v>5.34</x:v>
      </x:c>
      <x:c r="M6" s="36"/>
    </x:row>
    <x:row r="7" ht="28.5" customHeight="1">
      <x:c r="A7" s="30" t="str">
        <x:v>BioMaster*</x:v>
      </x:c>
      <x:c r="B7" s="37" t="n">
        <x:f>M28</x:f>
        <x:v>0.32</x:v>
      </x:c>
      <x:c r="C7" s="37"/>
      <x:c r="D7" s="37" t="n">
        <x:v>160.53</x:v>
      </x:c>
      <x:c r="E7" s="37"/>
      <x:c r="F7" s="37" t="n">
        <x:v>20.46</x:v>
      </x:c>
      <x:c r="G7" s="37"/>
      <x:c r="H7" s="37" t="n">
        <x:v>19.23</x:v>
      </x:c>
      <x:c r="I7" s="37"/>
      <x:c r="J7" s="38" t="n">
        <x:v>0.573</x:v>
      </x:c>
      <x:c r="K7" s="38"/>
      <x:c r="L7" s="38" t="n">
        <x:v>1.79</x:v>
      </x:c>
      <x:c r="M7" s="39"/>
    </x:row>
    <x:row r="8" ht="15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</x:row>
    <x:row r="9" ht="27" customHeight="1">
      <x:c r="A9" s="40" t="str">
        <x:v>Subject-stratified performance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</x:row>
    <x:row r="10" ht="25.5" customHeight="1">
      <x:c r="A10" s="47" t="str">
        <x:v>Subject</x:v>
      </x:c>
      <x:c r="B10" s="48" t="str">
        <x:v>AutoBA</x:v>
      </x:c>
      <x:c r="C10" s="48"/>
      <x:c r="D10" s="48"/>
      <x:c r="E10" s="48" t="str">
        <x:v>AutoBA*</x:v>
      </x:c>
      <x:c r="F10" s="48"/>
      <x:c r="G10" s="48"/>
      <x:c r="H10" s="48" t="str">
        <x:v>BioMaster</x:v>
      </x:c>
      <x:c r="I10" s="48"/>
      <x:c r="J10" s="48"/>
      <x:c r="K10" s="48" t="str">
        <x:v>BioMaster*</x:v>
      </x:c>
      <x:c r="L10" s="48"/>
      <x:c r="M10" s="49"/>
    </x:row>
    <x:row r="11" ht="34.5" customHeight="1">
      <x:c r="A11" s="50"/>
      <x:c r="B11" s="51" t="str">
        <x:v>Passed</x:v>
      </x:c>
      <x:c r="C11" s="51" t="str">
        <x:v>Evaluated</x:v>
      </x:c>
      <x:c r="D11" s="51" t="str">
        <x:v>Success rate</x:v>
      </x:c>
      <x:c r="E11" s="51" t="str">
        <x:v>Passed</x:v>
      </x:c>
      <x:c r="F11" s="51" t="str">
        <x:v>Evaluated</x:v>
      </x:c>
      <x:c r="G11" s="51" t="str">
        <x:v>Success rate</x:v>
      </x:c>
      <x:c r="H11" s="51" t="str">
        <x:v>Passed</x:v>
      </x:c>
      <x:c r="I11" s="51" t="str">
        <x:v>Evaluated</x:v>
      </x:c>
      <x:c r="J11" s="51" t="str">
        <x:v>Success rate</x:v>
      </x:c>
      <x:c r="K11" s="51" t="str">
        <x:v>Passed</x:v>
      </x:c>
      <x:c r="L11" s="51" t="str">
        <x:v>Evaluated</x:v>
      </x:c>
      <x:c r="M11" s="52" t="str">
        <x:v>Success rate</x:v>
      </x:c>
    </x:row>
    <x:row r="12" ht="28.5" customHeight="1">
      <x:c r="A12" s="16" t="str">
        <x:v>DNA</x:v>
      </x:c>
      <x:c r="B12" s="60" t="n">
        <x:f>COUNTIFS('Task outcomes'!$D$3:$D$102,$A12,'Task outcomes'!$E$3:$E$102,"Pass")</x:f>
        <x:v>0</x:v>
      </x:c>
      <x:c r="C12" s="60" t="n">
        <x:f>COUNTIFS('Task outcomes'!$D$3:$D$102,$A12)</x:f>
        <x:v>4</x:v>
      </x:c>
      <x:c r="D12" s="31" t="n">
        <x:f>B12/C12</x:f>
        <x:v>0</x:v>
      </x:c>
      <x:c r="E12" s="60" t="n">
        <x:f>COUNTIFS('Task outcomes'!$D$3:$D$102,$A12,'Task outcomes'!$F$3:$F$102,"Pass")</x:f>
        <x:v>0</x:v>
      </x:c>
      <x:c r="F12" s="60" t="n">
        <x:f>COUNTIFS('Task outcomes'!$D$3:$D$102,$A12)</x:f>
        <x:v>4</x:v>
      </x:c>
      <x:c r="G12" s="31" t="n">
        <x:f>E12/F12</x:f>
        <x:v>0</x:v>
      </x:c>
      <x:c r="H12" s="60" t="n">
        <x:f>COUNTIFS('Task outcomes'!$D$3:$D$102,$A12,'Task outcomes'!$G$3:$G$102,"Pass")</x:f>
        <x:v>0</x:v>
      </x:c>
      <x:c r="I12" s="60" t="n">
        <x:f>COUNTIFS('Task outcomes'!$D$3:$D$102,$A12)</x:f>
        <x:v>4</x:v>
      </x:c>
      <x:c r="J12" s="31" t="n">
        <x:f>H12/I12</x:f>
        <x:v>0</x:v>
      </x:c>
      <x:c r="K12" s="60" t="n">
        <x:f>COUNTIFS('Task outcomes'!$D$3:$D$102,$A12,'Task outcomes'!$H$3:$H$102,"Pass")</x:f>
        <x:v>0</x:v>
      </x:c>
      <x:c r="L12" s="60" t="n">
        <x:f>COUNTIFS('Task outcomes'!$D$3:$D$102,$A12)</x:f>
        <x:v>4</x:v>
      </x:c>
      <x:c r="M12" s="61" t="n">
        <x:f>K12/L12</x:f>
        <x:v>0</x:v>
      </x:c>
    </x:row>
    <x:row r="13" ht="28.5" customHeight="1">
      <x:c r="A13" s="20" t="str">
        <x:v>RNA</x:v>
      </x:c>
      <x:c r="B13" s="62" t="n">
        <x:f>COUNTIFS('Task outcomes'!$D$3:$D$102,$A13,'Task outcomes'!$E$3:$E$102,"Pass")</x:f>
        <x:v>0</x:v>
      </x:c>
      <x:c r="C13" s="62" t="n">
        <x:f>COUNTIFS('Task outcomes'!$D$3:$D$102,$A13)</x:f>
        <x:v>2</x:v>
      </x:c>
      <x:c r="D13" s="34" t="n">
        <x:f>B13/C13</x:f>
        <x:v>0</x:v>
      </x:c>
      <x:c r="E13" s="62" t="n">
        <x:f>COUNTIFS('Task outcomes'!$D$3:$D$102,$A13,'Task outcomes'!$F$3:$F$102,"Pass")</x:f>
        <x:v>0</x:v>
      </x:c>
      <x:c r="F13" s="62" t="n">
        <x:f>COUNTIFS('Task outcomes'!$D$3:$D$102,$A13)</x:f>
        <x:v>2</x:v>
      </x:c>
      <x:c r="G13" s="34" t="n">
        <x:f>E13/F13</x:f>
        <x:v>0</x:v>
      </x:c>
      <x:c r="H13" s="62" t="n">
        <x:f>COUNTIFS('Task outcomes'!$D$3:$D$102,$A13,'Task outcomes'!$G$3:$G$102,"Pass")</x:f>
        <x:v>0</x:v>
      </x:c>
      <x:c r="I13" s="62" t="n">
        <x:f>COUNTIFS('Task outcomes'!$D$3:$D$102,$A13)</x:f>
        <x:v>2</x:v>
      </x:c>
      <x:c r="J13" s="34" t="n">
        <x:f>H13/I13</x:f>
        <x:v>0</x:v>
      </x:c>
      <x:c r="K13" s="62" t="n">
        <x:f>COUNTIFS('Task outcomes'!$D$3:$D$102,$A13,'Task outcomes'!$H$3:$H$102,"Pass")</x:f>
        <x:v>0</x:v>
      </x:c>
      <x:c r="L13" s="62" t="n">
        <x:f>COUNTIFS('Task outcomes'!$D$3:$D$102,$A13)</x:f>
        <x:v>2</x:v>
      </x:c>
      <x:c r="M13" s="63" t="n">
        <x:f>K13/L13</x:f>
        <x:v>0</x:v>
      </x:c>
    </x:row>
    <x:row r="14" ht="28.5" customHeight="1">
      <x:c r="A14" s="20" t="str">
        <x:v>Genetic</x:v>
      </x:c>
      <x:c r="B14" s="62" t="n">
        <x:f>COUNTIFS('Task outcomes'!$D$3:$D$102,$A14,'Task outcomes'!$E$3:$E$102,"Pass")</x:f>
        <x:v>10</x:v>
      </x:c>
      <x:c r="C14" s="62" t="n">
        <x:f>COUNTIFS('Task outcomes'!$D$3:$D$102,$A14)</x:f>
        <x:v>32</x:v>
      </x:c>
      <x:c r="D14" s="34" t="n">
        <x:f>B14/C14</x:f>
        <x:v>0.3125</x:v>
      </x:c>
      <x:c r="E14" s="62" t="n">
        <x:f>COUNTIFS('Task outcomes'!$D$3:$D$102,$A14,'Task outcomes'!$F$3:$F$102,"Pass")</x:f>
        <x:v>17</x:v>
      </x:c>
      <x:c r="F14" s="62" t="n">
        <x:f>COUNTIFS('Task outcomes'!$D$3:$D$102,$A14)</x:f>
        <x:v>32</x:v>
      </x:c>
      <x:c r="G14" s="34" t="n">
        <x:f>E14/F14</x:f>
        <x:v>0.53125</x:v>
      </x:c>
      <x:c r="H14" s="62" t="n">
        <x:f>COUNTIFS('Task outcomes'!$D$3:$D$102,$A14,'Task outcomes'!$G$3:$G$102,"Pass")</x:f>
        <x:v>0</x:v>
      </x:c>
      <x:c r="I14" s="62" t="n">
        <x:f>COUNTIFS('Task outcomes'!$D$3:$D$102,$A14)</x:f>
        <x:v>32</x:v>
      </x:c>
      <x:c r="J14" s="34" t="n">
        <x:f>H14/I14</x:f>
        <x:v>0</x:v>
      </x:c>
      <x:c r="K14" s="62" t="n">
        <x:f>COUNTIFS('Task outcomes'!$D$3:$D$102,$A14,'Task outcomes'!$H$3:$H$102,"Pass")</x:f>
        <x:v>7</x:v>
      </x:c>
      <x:c r="L14" s="62" t="n">
        <x:f>COUNTIFS('Task outcomes'!$D$3:$D$102,$A14)</x:f>
        <x:v>32</x:v>
      </x:c>
      <x:c r="M14" s="63" t="n">
        <x:f>K14/L14</x:f>
        <x:v>0.21875</x:v>
      </x:c>
    </x:row>
    <x:row r="15" ht="28.5" customHeight="1">
      <x:c r="A15" s="20" t="str">
        <x:v>Descriptive statistics</x:v>
      </x:c>
      <x:c r="B15" s="62" t="n">
        <x:f>COUNTIFS('Task outcomes'!$D$3:$D$102,$A15,'Task outcomes'!$E$3:$E$102,"Pass")</x:f>
        <x:v>5</x:v>
      </x:c>
      <x:c r="C15" s="62" t="n">
        <x:f>COUNTIFS('Task outcomes'!$D$3:$D$102,$A15)</x:f>
        <x:v>17</x:v>
      </x:c>
      <x:c r="D15" s="34" t="n">
        <x:f>B15/C15</x:f>
        <x:v>0.29411764705882354</x:v>
      </x:c>
      <x:c r="E15" s="62" t="n">
        <x:f>COUNTIFS('Task outcomes'!$D$3:$D$102,$A15,'Task outcomes'!$F$3:$F$102,"Pass")</x:f>
        <x:v>9</x:v>
      </x:c>
      <x:c r="F15" s="62" t="n">
        <x:f>COUNTIFS('Task outcomes'!$D$3:$D$102,$A15)</x:f>
        <x:v>17</x:v>
      </x:c>
      <x:c r="G15" s="34" t="n">
        <x:f>E15/F15</x:f>
        <x:v>0.5294117647058824</x:v>
      </x:c>
      <x:c r="H15" s="62" t="n">
        <x:f>COUNTIFS('Task outcomes'!$D$3:$D$102,$A15,'Task outcomes'!$G$3:$G$102,"Pass")</x:f>
        <x:v>1</x:v>
      </x:c>
      <x:c r="I15" s="62" t="n">
        <x:f>COUNTIFS('Task outcomes'!$D$3:$D$102,$A15)</x:f>
        <x:v>17</x:v>
      </x:c>
      <x:c r="J15" s="34" t="n">
        <x:f>H15/I15</x:f>
        <x:v>0.058823529411764705</x:v>
      </x:c>
      <x:c r="K15" s="62" t="n">
        <x:f>COUNTIFS('Task outcomes'!$D$3:$D$102,$A15,'Task outcomes'!$H$3:$H$102,"Pass")</x:f>
        <x:v>5</x:v>
      </x:c>
      <x:c r="L15" s="62" t="n">
        <x:f>COUNTIFS('Task outcomes'!$D$3:$D$102,$A15)</x:f>
        <x:v>17</x:v>
      </x:c>
      <x:c r="M15" s="63" t="n">
        <x:f>K15/L15</x:f>
        <x:v>0.29411764705882354</x:v>
      </x:c>
    </x:row>
    <x:row r="16" ht="28.5" customHeight="1">
      <x:c r="A16" s="20" t="str">
        <x:v>Inferential statistics</x:v>
      </x:c>
      <x:c r="B16" s="62" t="n">
        <x:f>COUNTIFS('Task outcomes'!$D$3:$D$102,$A16,'Task outcomes'!$E$3:$E$102,"Pass")</x:f>
        <x:v>3</x:v>
      </x:c>
      <x:c r="C16" s="62" t="n">
        <x:f>COUNTIFS('Task outcomes'!$D$3:$D$102,$A16)</x:f>
        <x:v>9</x:v>
      </x:c>
      <x:c r="D16" s="34" t="n">
        <x:f>B16/C16</x:f>
        <x:v>0.3333333333333333</x:v>
      </x:c>
      <x:c r="E16" s="62" t="n">
        <x:f>COUNTIFS('Task outcomes'!$D$3:$D$102,$A16,'Task outcomes'!$F$3:$F$102,"Pass")</x:f>
        <x:v>5</x:v>
      </x:c>
      <x:c r="F16" s="62" t="n">
        <x:f>COUNTIFS('Task outcomes'!$D$3:$D$102,$A16)</x:f>
        <x:v>9</x:v>
      </x:c>
      <x:c r="G16" s="34" t="n">
        <x:f>E16/F16</x:f>
        <x:v>0.5555555555555556</x:v>
      </x:c>
      <x:c r="H16" s="62" t="n">
        <x:f>COUNTIFS('Task outcomes'!$D$3:$D$102,$A16,'Task outcomes'!$G$3:$G$102,"Pass")</x:f>
        <x:v>0</x:v>
      </x:c>
      <x:c r="I16" s="62" t="n">
        <x:f>COUNTIFS('Task outcomes'!$D$3:$D$102,$A16)</x:f>
        <x:v>9</x:v>
      </x:c>
      <x:c r="J16" s="34" t="n">
        <x:f>H16/I16</x:f>
        <x:v>0</x:v>
      </x:c>
      <x:c r="K16" s="62" t="n">
        <x:f>COUNTIFS('Task outcomes'!$D$3:$D$102,$A16,'Task outcomes'!$H$3:$H$102,"Pass")</x:f>
        <x:v>0</x:v>
      </x:c>
      <x:c r="L16" s="62" t="n">
        <x:f>COUNTIFS('Task outcomes'!$D$3:$D$102,$A16)</x:f>
        <x:v>9</x:v>
      </x:c>
      <x:c r="M16" s="63" t="n">
        <x:f>K16/L16</x:f>
        <x:v>0</x:v>
      </x:c>
    </x:row>
    <x:row r="17" ht="28.5" customHeight="1">
      <x:c r="A17" s="20" t="str">
        <x:v>Basic plot</x:v>
      </x:c>
      <x:c r="B17" s="62" t="n">
        <x:f>COUNTIFS('Task outcomes'!$D$3:$D$102,$A17,'Task outcomes'!$E$3:$E$102,"Pass")</x:f>
        <x:v>3</x:v>
      </x:c>
      <x:c r="C17" s="62" t="n">
        <x:f>COUNTIFS('Task outcomes'!$D$3:$D$102,$A17)</x:f>
        <x:v>4</x:v>
      </x:c>
      <x:c r="D17" s="34" t="n">
        <x:f>B17/C17</x:f>
        <x:v>0.75</x:v>
      </x:c>
      <x:c r="E17" s="62" t="n">
        <x:f>COUNTIFS('Task outcomes'!$D$3:$D$102,$A17,'Task outcomes'!$F$3:$F$102,"Pass")</x:f>
        <x:v>3</x:v>
      </x:c>
      <x:c r="F17" s="62" t="n">
        <x:f>COUNTIFS('Task outcomes'!$D$3:$D$102,$A17)</x:f>
        <x:v>4</x:v>
      </x:c>
      <x:c r="G17" s="34" t="n">
        <x:f>E17/F17</x:f>
        <x:v>0.75</x:v>
      </x:c>
      <x:c r="H17" s="62" t="n">
        <x:f>COUNTIFS('Task outcomes'!$D$3:$D$102,$A17,'Task outcomes'!$G$3:$G$102,"Pass")</x:f>
        <x:v>0</x:v>
      </x:c>
      <x:c r="I17" s="62" t="n">
        <x:f>COUNTIFS('Task outcomes'!$D$3:$D$102,$A17)</x:f>
        <x:v>4</x:v>
      </x:c>
      <x:c r="J17" s="34" t="n">
        <x:f>H17/I17</x:f>
        <x:v>0</x:v>
      </x:c>
      <x:c r="K17" s="62" t="n">
        <x:f>COUNTIFS('Task outcomes'!$D$3:$D$102,$A17,'Task outcomes'!$H$3:$H$102,"Pass")</x:f>
        <x:v>4</x:v>
      </x:c>
      <x:c r="L17" s="62" t="n">
        <x:f>COUNTIFS('Task outcomes'!$D$3:$D$102,$A17)</x:f>
        <x:v>4</x:v>
      </x:c>
      <x:c r="M17" s="63" t="n">
        <x:f>K17/L17</x:f>
        <x:v>1</x:v>
      </x:c>
    </x:row>
    <x:row r="18" ht="28.5" customHeight="1">
      <x:c r="A18" s="20" t="str">
        <x:v>Fitting &amp; inference</x:v>
      </x:c>
      <x:c r="B18" s="62" t="n">
        <x:f>COUNTIFS('Task outcomes'!$D$3:$D$102,$A18,'Task outcomes'!$E$3:$E$102,"Pass")</x:f>
        <x:v>4</x:v>
      </x:c>
      <x:c r="C18" s="62" t="n">
        <x:f>COUNTIFS('Task outcomes'!$D$3:$D$102,$A18)</x:f>
        <x:v>6</x:v>
      </x:c>
      <x:c r="D18" s="34" t="n">
        <x:f>B18/C18</x:f>
        <x:v>0.6666666666666666</x:v>
      </x:c>
      <x:c r="E18" s="62" t="n">
        <x:f>COUNTIFS('Task outcomes'!$D$3:$D$102,$A18,'Task outcomes'!$F$3:$F$102,"Pass")</x:f>
        <x:v>5</x:v>
      </x:c>
      <x:c r="F18" s="62" t="n">
        <x:f>COUNTIFS('Task outcomes'!$D$3:$D$102,$A18)</x:f>
        <x:v>6</x:v>
      </x:c>
      <x:c r="G18" s="34" t="n">
        <x:f>E18/F18</x:f>
        <x:v>0.8333333333333334</x:v>
      </x:c>
      <x:c r="H18" s="62" t="n">
        <x:f>COUNTIFS('Task outcomes'!$D$3:$D$102,$A18,'Task outcomes'!$G$3:$G$102,"Pass")</x:f>
        <x:v>1</x:v>
      </x:c>
      <x:c r="I18" s="62" t="n">
        <x:f>COUNTIFS('Task outcomes'!$D$3:$D$102,$A18)</x:f>
        <x:v>6</x:v>
      </x:c>
      <x:c r="J18" s="34" t="n">
        <x:f>H18/I18</x:f>
        <x:v>0.16666666666666666</x:v>
      </x:c>
      <x:c r="K18" s="62" t="n">
        <x:f>COUNTIFS('Task outcomes'!$D$3:$D$102,$A18,'Task outcomes'!$H$3:$H$102,"Pass")</x:f>
        <x:v>4</x:v>
      </x:c>
      <x:c r="L18" s="62" t="n">
        <x:f>COUNTIFS('Task outcomes'!$D$3:$D$102,$A18)</x:f>
        <x:v>6</x:v>
      </x:c>
      <x:c r="M18" s="63" t="n">
        <x:f>K18/L18</x:f>
        <x:v>0.6666666666666666</x:v>
      </x:c>
    </x:row>
    <x:row r="19" ht="28.5" customHeight="1">
      <x:c r="A19" s="20" t="str">
        <x:v>Upset</x:v>
      </x:c>
      <x:c r="B19" s="62" t="n">
        <x:f>COUNTIFS('Task outcomes'!$D$3:$D$102,$A19,'Task outcomes'!$E$3:$E$102,"Pass")</x:f>
        <x:v>2</x:v>
      </x:c>
      <x:c r="C19" s="62" t="n">
        <x:f>COUNTIFS('Task outcomes'!$D$3:$D$102,$A19)</x:f>
        <x:v>3</x:v>
      </x:c>
      <x:c r="D19" s="34" t="n">
        <x:f>B19/C19</x:f>
        <x:v>0.6666666666666666</x:v>
      </x:c>
      <x:c r="E19" s="62" t="n">
        <x:f>COUNTIFS('Task outcomes'!$D$3:$D$102,$A19,'Task outcomes'!$F$3:$F$102,"Pass")</x:f>
        <x:v>3</x:v>
      </x:c>
      <x:c r="F19" s="62" t="n">
        <x:f>COUNTIFS('Task outcomes'!$D$3:$D$102,$A19)</x:f>
        <x:v>3</x:v>
      </x:c>
      <x:c r="G19" s="34" t="n">
        <x:f>E19/F19</x:f>
        <x:v>1</x:v>
      </x:c>
      <x:c r="H19" s="62" t="n">
        <x:f>COUNTIFS('Task outcomes'!$D$3:$D$102,$A19,'Task outcomes'!$G$3:$G$102,"Pass")</x:f>
        <x:v>1</x:v>
      </x:c>
      <x:c r="I19" s="62" t="n">
        <x:f>COUNTIFS('Task outcomes'!$D$3:$D$102,$A19)</x:f>
        <x:v>3</x:v>
      </x:c>
      <x:c r="J19" s="34" t="n">
        <x:f>H19/I19</x:f>
        <x:v>0.3333333333333333</x:v>
      </x:c>
      <x:c r="K19" s="62" t="n">
        <x:f>COUNTIFS('Task outcomes'!$D$3:$D$102,$A19,'Task outcomes'!$H$3:$H$102,"Pass")</x:f>
        <x:v>2</x:v>
      </x:c>
      <x:c r="L19" s="62" t="n">
        <x:f>COUNTIFS('Task outcomes'!$D$3:$D$102,$A19)</x:f>
        <x:v>3</x:v>
      </x:c>
      <x:c r="M19" s="63" t="n">
        <x:f>K19/L19</x:f>
        <x:v>0.6666666666666666</x:v>
      </x:c>
    </x:row>
    <x:row r="20" ht="28.5" customHeight="1">
      <x:c r="A20" s="20" t="str">
        <x:v>Other</x:v>
      </x:c>
      <x:c r="B20" s="62" t="n">
        <x:f>COUNTIFS('Task outcomes'!$D$3:$D$102,$A20,'Task outcomes'!$E$3:$E$102,"Pass")</x:f>
        <x:v>2</x:v>
      </x:c>
      <x:c r="C20" s="62" t="n">
        <x:f>COUNTIFS('Task outcomes'!$D$3:$D$102,$A20)</x:f>
        <x:v>3</x:v>
      </x:c>
      <x:c r="D20" s="34" t="n">
        <x:f>B20/C20</x:f>
        <x:v>0.6666666666666666</x:v>
      </x:c>
      <x:c r="E20" s="62" t="n">
        <x:f>COUNTIFS('Task outcomes'!$D$3:$D$102,$A20,'Task outcomes'!$F$3:$F$102,"Pass")</x:f>
        <x:v>2</x:v>
      </x:c>
      <x:c r="F20" s="62" t="n">
        <x:f>COUNTIFS('Task outcomes'!$D$3:$D$102,$A20)</x:f>
        <x:v>3</x:v>
      </x:c>
      <x:c r="G20" s="34" t="n">
        <x:f>E20/F20</x:f>
        <x:v>0.6666666666666666</x:v>
      </x:c>
      <x:c r="H20" s="62" t="n">
        <x:f>COUNTIFS('Task outcomes'!$D$3:$D$102,$A20,'Task outcomes'!$G$3:$G$102,"Pass")</x:f>
        <x:v>0</x:v>
      </x:c>
      <x:c r="I20" s="62" t="n">
        <x:f>COUNTIFS('Task outcomes'!$D$3:$D$102,$A20)</x:f>
        <x:v>3</x:v>
      </x:c>
      <x:c r="J20" s="34" t="n">
        <x:f>H20/I20</x:f>
        <x:v>0</x:v>
      </x:c>
      <x:c r="K20" s="62" t="n">
        <x:f>COUNTIFS('Task outcomes'!$D$3:$D$102,$A20,'Task outcomes'!$H$3:$H$102,"Pass")</x:f>
        <x:v>2</x:v>
      </x:c>
      <x:c r="L20" s="62" t="n">
        <x:f>COUNTIFS('Task outcomes'!$D$3:$D$102,$A20)</x:f>
        <x:v>3</x:v>
      </x:c>
      <x:c r="M20" s="63" t="n">
        <x:f>K20/L20</x:f>
        <x:v>0.6666666666666666</x:v>
      </x:c>
    </x:row>
    <x:row r="21" ht="28.5" customHeight="1">
      <x:c r="A21" s="20" t="str">
        <x:v>Survival</x:v>
      </x:c>
      <x:c r="B21" s="62" t="n">
        <x:f>COUNTIFS('Task outcomes'!$D$3:$D$102,$A21,'Task outcomes'!$E$3:$E$102,"Pass")</x:f>
        <x:v>1</x:v>
      </x:c>
      <x:c r="C21" s="62" t="n">
        <x:f>COUNTIFS('Task outcomes'!$D$3:$D$102,$A21)</x:f>
        <x:v>8</x:v>
      </x:c>
      <x:c r="D21" s="34" t="n">
        <x:f>B21/C21</x:f>
        <x:v>0.125</x:v>
      </x:c>
      <x:c r="E21" s="62" t="n">
        <x:f>COUNTIFS('Task outcomes'!$D$3:$D$102,$A21,'Task outcomes'!$F$3:$F$102,"Pass")</x:f>
        <x:v>4</x:v>
      </x:c>
      <x:c r="F21" s="62" t="n">
        <x:f>COUNTIFS('Task outcomes'!$D$3:$D$102,$A21)</x:f>
        <x:v>8</x:v>
      </x:c>
      <x:c r="G21" s="34" t="n">
        <x:f>E21/F21</x:f>
        <x:v>0.5</x:v>
      </x:c>
      <x:c r="H21" s="62" t="n">
        <x:f>COUNTIFS('Task outcomes'!$D$3:$D$102,$A21,'Task outcomes'!$G$3:$G$102,"Pass")</x:f>
        <x:v>0</x:v>
      </x:c>
      <x:c r="I21" s="62" t="n">
        <x:f>COUNTIFS('Task outcomes'!$D$3:$D$102,$A21)</x:f>
        <x:v>8</x:v>
      </x:c>
      <x:c r="J21" s="34" t="n">
        <x:f>H21/I21</x:f>
        <x:v>0</x:v>
      </x:c>
      <x:c r="K21" s="62" t="n">
        <x:f>COUNTIFS('Task outcomes'!$D$3:$D$102,$A21,'Task outcomes'!$H$3:$H$102,"Pass")</x:f>
        <x:v>2</x:v>
      </x:c>
      <x:c r="L21" s="62" t="n">
        <x:f>COUNTIFS('Task outcomes'!$D$3:$D$102,$A21)</x:f>
        <x:v>8</x:v>
      </x:c>
      <x:c r="M21" s="63" t="n">
        <x:f>K21/L21</x:f>
        <x:v>0.25</x:v>
      </x:c>
    </x:row>
    <x:row r="22" ht="28.5" customHeight="1">
      <x:c r="A22" s="20" t="str">
        <x:v>FigQA</x:v>
      </x:c>
      <x:c r="B22" s="62" t="n">
        <x:f>COUNTIFS('Task outcomes'!$D$3:$D$102,$A22,'Task outcomes'!$E$3:$E$102,"Pass")</x:f>
        <x:v>0</x:v>
      </x:c>
      <x:c r="C22" s="62" t="n">
        <x:f>COUNTIFS('Task outcomes'!$D$3:$D$102,$A22)</x:f>
        <x:v>2</x:v>
      </x:c>
      <x:c r="D22" s="34" t="n">
        <x:f>B22/C22</x:f>
        <x:v>0</x:v>
      </x:c>
      <x:c r="E22" s="62" t="n">
        <x:f>COUNTIFS('Task outcomes'!$D$3:$D$102,$A22,'Task outcomes'!$F$3:$F$102,"Pass")</x:f>
        <x:v>1</x:v>
      </x:c>
      <x:c r="F22" s="62" t="n">
        <x:f>COUNTIFS('Task outcomes'!$D$3:$D$102,$A22)</x:f>
        <x:v>2</x:v>
      </x:c>
      <x:c r="G22" s="34" t="n">
        <x:f>E22/F22</x:f>
        <x:v>0.5</x:v>
      </x:c>
      <x:c r="H22" s="62" t="n">
        <x:f>COUNTIFS('Task outcomes'!$D$3:$D$102,$A22,'Task outcomes'!$G$3:$G$102,"Pass")</x:f>
        <x:v>0</x:v>
      </x:c>
      <x:c r="I22" s="62" t="n">
        <x:f>COUNTIFS('Task outcomes'!$D$3:$D$102,$A22)</x:f>
        <x:v>2</x:v>
      </x:c>
      <x:c r="J22" s="34" t="n">
        <x:f>H22/I22</x:f>
        <x:v>0</x:v>
      </x:c>
      <x:c r="K22" s="62" t="n">
        <x:f>COUNTIFS('Task outcomes'!$D$3:$D$102,$A22,'Task outcomes'!$H$3:$H$102,"Pass")</x:f>
        <x:v>0</x:v>
      </x:c>
      <x:c r="L22" s="62" t="n">
        <x:f>COUNTIFS('Task outcomes'!$D$3:$D$102,$A22)</x:f>
        <x:v>2</x:v>
      </x:c>
      <x:c r="M22" s="63" t="n">
        <x:f>K22/L22</x:f>
        <x:v>0</x:v>
      </x:c>
    </x:row>
    <x:row r="23" ht="28.5" customHeight="1">
      <x:c r="A23" s="20" t="str">
        <x:v>LitQA</x:v>
      </x:c>
      <x:c r="B23" s="62" t="n">
        <x:f>COUNTIFS('Task outcomes'!$D$3:$D$102,$A23,'Task outcomes'!$E$3:$E$102,"Pass")</x:f>
        <x:v>0</x:v>
      </x:c>
      <x:c r="C23" s="62" t="n">
        <x:f>COUNTIFS('Task outcomes'!$D$3:$D$102,$A23)</x:f>
        <x:v>2</x:v>
      </x:c>
      <x:c r="D23" s="34" t="n">
        <x:f>B23/C23</x:f>
        <x:v>0</x:v>
      </x:c>
      <x:c r="E23" s="62" t="n">
        <x:f>COUNTIFS('Task outcomes'!$D$3:$D$102,$A23,'Task outcomes'!$F$3:$F$102,"Pass")</x:f>
        <x:v>0</x:v>
      </x:c>
      <x:c r="F23" s="62" t="n">
        <x:f>COUNTIFS('Task outcomes'!$D$3:$D$102,$A23)</x:f>
        <x:v>2</x:v>
      </x:c>
      <x:c r="G23" s="34" t="n">
        <x:f>E23/F23</x:f>
        <x:v>0</x:v>
      </x:c>
      <x:c r="H23" s="62" t="n">
        <x:f>COUNTIFS('Task outcomes'!$D$3:$D$102,$A23,'Task outcomes'!$G$3:$G$102,"Pass")</x:f>
        <x:v>0</x:v>
      </x:c>
      <x:c r="I23" s="62" t="n">
        <x:f>COUNTIFS('Task outcomes'!$D$3:$D$102,$A23)</x:f>
        <x:v>2</x:v>
      </x:c>
      <x:c r="J23" s="34" t="n">
        <x:f>H23/I23</x:f>
        <x:v>0</x:v>
      </x:c>
      <x:c r="K23" s="62" t="n">
        <x:f>COUNTIFS('Task outcomes'!$D$3:$D$102,$A23,'Task outcomes'!$H$3:$H$102,"Pass")</x:f>
        <x:v>0</x:v>
      </x:c>
      <x:c r="L23" s="62" t="n">
        <x:f>COUNTIFS('Task outcomes'!$D$3:$D$102,$A23)</x:f>
        <x:v>2</x:v>
      </x:c>
      <x:c r="M23" s="63" t="n">
        <x:f>K23/L23</x:f>
        <x:v>0</x:v>
      </x:c>
    </x:row>
    <x:row r="24" ht="28.5" customHeight="1">
      <x:c r="A24" s="20" t="str">
        <x:v>ProtocolQA</x:v>
      </x:c>
      <x:c r="B24" s="62" t="n">
        <x:f>COUNTIFS('Task outcomes'!$D$3:$D$102,$A24,'Task outcomes'!$E$3:$E$102,"Pass")</x:f>
        <x:v>1</x:v>
      </x:c>
      <x:c r="C24" s="62" t="n">
        <x:f>COUNTIFS('Task outcomes'!$D$3:$D$102,$A24)</x:f>
        <x:v>1</x:v>
      </x:c>
      <x:c r="D24" s="34" t="n">
        <x:f>B24/C24</x:f>
        <x:v>1</x:v>
      </x:c>
      <x:c r="E24" s="62" t="n">
        <x:f>COUNTIFS('Task outcomes'!$D$3:$D$102,$A24,'Task outcomes'!$F$3:$F$102,"Pass")</x:f>
        <x:v>1</x:v>
      </x:c>
      <x:c r="F24" s="62" t="n">
        <x:f>COUNTIFS('Task outcomes'!$D$3:$D$102,$A24)</x:f>
        <x:v>1</x:v>
      </x:c>
      <x:c r="G24" s="34" t="n">
        <x:f>E24/F24</x:f>
        <x:v>1</x:v>
      </x:c>
      <x:c r="H24" s="62" t="n">
        <x:f>COUNTIFS('Task outcomes'!$D$3:$D$102,$A24,'Task outcomes'!$G$3:$G$102,"Pass")</x:f>
        <x:v>1</x:v>
      </x:c>
      <x:c r="I24" s="62" t="n">
        <x:f>COUNTIFS('Task outcomes'!$D$3:$D$102,$A24)</x:f>
        <x:v>1</x:v>
      </x:c>
      <x:c r="J24" s="34" t="n">
        <x:f>H24/I24</x:f>
        <x:v>1</x:v>
      </x:c>
      <x:c r="K24" s="62" t="n">
        <x:f>COUNTIFS('Task outcomes'!$D$3:$D$102,$A24,'Task outcomes'!$H$3:$H$102,"Pass")</x:f>
        <x:v>1</x:v>
      </x:c>
      <x:c r="L24" s="62" t="n">
        <x:f>COUNTIFS('Task outcomes'!$D$3:$D$102,$A24)</x:f>
        <x:v>1</x:v>
      </x:c>
      <x:c r="M24" s="63" t="n">
        <x:f>K24/L24</x:f>
        <x:v>1</x:v>
      </x:c>
    </x:row>
    <x:row r="25" ht="28.5" customHeight="1">
      <x:c r="A25" s="20" t="str">
        <x:v>SuppQA</x:v>
      </x:c>
      <x:c r="B25" s="62" t="n">
        <x:f>COUNTIFS('Task outcomes'!$D$3:$D$102,$A25,'Task outcomes'!$E$3:$E$102,"Pass")</x:f>
        <x:v>1</x:v>
      </x:c>
      <x:c r="C25" s="62" t="n">
        <x:f>COUNTIFS('Task outcomes'!$D$3:$D$102,$A25)</x:f>
        <x:v>1</x:v>
      </x:c>
      <x:c r="D25" s="34" t="n">
        <x:f>B25/C25</x:f>
        <x:v>1</x:v>
      </x:c>
      <x:c r="E25" s="62" t="n">
        <x:f>COUNTIFS('Task outcomes'!$D$3:$D$102,$A25,'Task outcomes'!$F$3:$F$102,"Pass")</x:f>
        <x:v>0</x:v>
      </x:c>
      <x:c r="F25" s="62" t="n">
        <x:f>COUNTIFS('Task outcomes'!$D$3:$D$102,$A25)</x:f>
        <x:v>1</x:v>
      </x:c>
      <x:c r="G25" s="34" t="n">
        <x:f>E25/F25</x:f>
        <x:v>0</x:v>
      </x:c>
      <x:c r="H25" s="62" t="n">
        <x:f>COUNTIFS('Task outcomes'!$D$3:$D$102,$A25,'Task outcomes'!$G$3:$G$102,"Pass")</x:f>
        <x:v>0</x:v>
      </x:c>
      <x:c r="I25" s="62" t="n">
        <x:f>COUNTIFS('Task outcomes'!$D$3:$D$102,$A25)</x:f>
        <x:v>1</x:v>
      </x:c>
      <x:c r="J25" s="34" t="n">
        <x:f>H25/I25</x:f>
        <x:v>0</x:v>
      </x:c>
      <x:c r="K25" s="62" t="n">
        <x:f>COUNTIFS('Task outcomes'!$D$3:$D$102,$A25,'Task outcomes'!$H$3:$H$102,"Pass")</x:f>
        <x:v>0</x:v>
      </x:c>
      <x:c r="L25" s="62" t="n">
        <x:f>COUNTIFS('Task outcomes'!$D$3:$D$102,$A25)</x:f>
        <x:v>1</x:v>
      </x:c>
      <x:c r="M25" s="63" t="n">
        <x:f>K25/L25</x:f>
        <x:v>0</x:v>
      </x:c>
    </x:row>
    <x:row r="26" ht="28.5" customHeight="1">
      <x:c r="A26" s="20" t="str">
        <x:v>TableQA</x:v>
      </x:c>
      <x:c r="B26" s="62" t="n">
        <x:f>COUNTIFS('Task outcomes'!$D$3:$D$102,$A26,'Task outcomes'!$E$3:$E$102,"Pass")</x:f>
        <x:v>0</x:v>
      </x:c>
      <x:c r="C26" s="62" t="n">
        <x:f>COUNTIFS('Task outcomes'!$D$3:$D$102,$A26)</x:f>
        <x:v>2</x:v>
      </x:c>
      <x:c r="D26" s="34" t="n">
        <x:f>B26/C26</x:f>
        <x:v>0</x:v>
      </x:c>
      <x:c r="E26" s="62" t="n">
        <x:f>COUNTIFS('Task outcomes'!$D$3:$D$102,$A26,'Task outcomes'!$F$3:$F$102,"Pass")</x:f>
        <x:v>1</x:v>
      </x:c>
      <x:c r="F26" s="62" t="n">
        <x:f>COUNTIFS('Task outcomes'!$D$3:$D$102,$A26)</x:f>
        <x:v>2</x:v>
      </x:c>
      <x:c r="G26" s="34" t="n">
        <x:f>E26/F26</x:f>
        <x:v>0.5</x:v>
      </x:c>
      <x:c r="H26" s="62" t="n">
        <x:f>COUNTIFS('Task outcomes'!$D$3:$D$102,$A26,'Task outcomes'!$G$3:$G$102,"Pass")</x:f>
        <x:v>0</x:v>
      </x:c>
      <x:c r="I26" s="62" t="n">
        <x:f>COUNTIFS('Task outcomes'!$D$3:$D$102,$A26)</x:f>
        <x:v>2</x:v>
      </x:c>
      <x:c r="J26" s="34" t="n">
        <x:f>H26/I26</x:f>
        <x:v>0</x:v>
      </x:c>
      <x:c r="K26" s="62" t="n">
        <x:f>COUNTIFS('Task outcomes'!$D$3:$D$102,$A26,'Task outcomes'!$H$3:$H$102,"Pass")</x:f>
        <x:v>2</x:v>
      </x:c>
      <x:c r="L26" s="62" t="n">
        <x:f>COUNTIFS('Task outcomes'!$D$3:$D$102,$A26)</x:f>
        <x:v>2</x:v>
      </x:c>
      <x:c r="M26" s="63" t="n">
        <x:f>K26/L26</x:f>
        <x:v>1</x:v>
      </x:c>
    </x:row>
    <x:row r="27" ht="28.5" customHeight="1">
      <x:c r="A27" s="20" t="str">
        <x:v>Data Operations</x:v>
      </x:c>
      <x:c r="B27" s="62" t="n">
        <x:f>COUNTIFS('Task outcomes'!$D$3:$D$102,$A27,'Task outcomes'!$E$3:$E$102,"Pass")</x:f>
        <x:v>2</x:v>
      </x:c>
      <x:c r="C27" s="62" t="n">
        <x:f>COUNTIFS('Task outcomes'!$D$3:$D$102,$A27)</x:f>
        <x:v>4</x:v>
      </x:c>
      <x:c r="D27" s="34" t="n">
        <x:f>B27/C27</x:f>
        <x:v>0.5</x:v>
      </x:c>
      <x:c r="E27" s="62" t="n">
        <x:f>COUNTIFS('Task outcomes'!$D$3:$D$102,$A27,'Task outcomes'!$F$3:$F$102,"Pass")</x:f>
        <x:v>4</x:v>
      </x:c>
      <x:c r="F27" s="62" t="n">
        <x:f>COUNTIFS('Task outcomes'!$D$3:$D$102,$A27)</x:f>
        <x:v>4</x:v>
      </x:c>
      <x:c r="G27" s="34" t="n">
        <x:f>E27/F27</x:f>
        <x:v>1</x:v>
      </x:c>
      <x:c r="H27" s="62" t="n">
        <x:f>COUNTIFS('Task outcomes'!$D$3:$D$102,$A27,'Task outcomes'!$G$3:$G$102,"Pass")</x:f>
        <x:v>1</x:v>
      </x:c>
      <x:c r="I27" s="62" t="n">
        <x:f>COUNTIFS('Task outcomes'!$D$3:$D$102,$A27)</x:f>
        <x:v>4</x:v>
      </x:c>
      <x:c r="J27" s="34" t="n">
        <x:f>H27/I27</x:f>
        <x:v>0.25</x:v>
      </x:c>
      <x:c r="K27" s="62" t="n">
        <x:f>COUNTIFS('Task outcomes'!$D$3:$D$102,$A27,'Task outcomes'!$H$3:$H$102,"Pass")</x:f>
        <x:v>3</x:v>
      </x:c>
      <x:c r="L27" s="62" t="n">
        <x:f>COUNTIFS('Task outcomes'!$D$3:$D$102,$A27)</x:f>
        <x:v>4</x:v>
      </x:c>
      <x:c r="M27" s="63" t="n">
        <x:f>K27/L27</x:f>
        <x:v>0.75</x:v>
      </x:c>
    </x:row>
    <x:row r="28" ht="28.5" customHeight="1">
      <x:c r="A28" s="69" t="str">
        <x:v>Overall (B1)</x:v>
      </x:c>
      <x:c r="B28" s="70" t="n">
        <x:f>SUM(B12:B27)</x:f>
        <x:v>34</x:v>
      </x:c>
      <x:c r="C28" s="70" t="n">
        <x:f>SUM(C12:C27)</x:f>
        <x:v>100</x:v>
      </x:c>
      <x:c r="D28" s="71" t="n">
        <x:f>B28/C28</x:f>
        <x:v>0.34</x:v>
      </x:c>
      <x:c r="E28" s="70" t="n">
        <x:f>SUM(E12:E27)</x:f>
        <x:v>55</x:v>
      </x:c>
      <x:c r="F28" s="70" t="n">
        <x:f>SUM(F12:F27)</x:f>
        <x:v>100</x:v>
      </x:c>
      <x:c r="G28" s="71" t="n">
        <x:f>E28/F28</x:f>
        <x:v>0.55</x:v>
      </x:c>
      <x:c r="H28" s="70" t="n">
        <x:f>SUM(H12:H27)</x:f>
        <x:v>5</x:v>
      </x:c>
      <x:c r="I28" s="70" t="n">
        <x:f>SUM(I12:I27)</x:f>
        <x:v>100</x:v>
      </x:c>
      <x:c r="J28" s="71" t="n">
        <x:f>H28/I28</x:f>
        <x:v>0.05</x:v>
      </x:c>
      <x:c r="K28" s="70" t="n">
        <x:f>SUM(K12:K27)</x:f>
        <x:v>32</x:v>
      </x:c>
      <x:c r="L28" s="70" t="n">
        <x:f>SUM(L12:L27)</x:f>
        <x:v>100</x:v>
      </x:c>
      <x:c r="M28" s="71" t="n">
        <x:f>K28/L28</x:f>
        <x:v>0.32</x:v>
      </x:c>
    </x:row>
  </x:sheetData>
  <x:mergeCells>
    <x:mergeCell ref="A1:M1"/>
    <x:mergeCell ref="B3:C3"/>
    <x:mergeCell ref="B4:C4"/>
    <x:mergeCell ref="B5:C5"/>
    <x:mergeCell ref="B6:C6"/>
    <x:mergeCell ref="B7:C7"/>
    <x:mergeCell ref="D3:E3"/>
    <x:mergeCell ref="D4:E4"/>
    <x:mergeCell ref="D5:E5"/>
    <x:mergeCell ref="D6:E6"/>
    <x:mergeCell ref="D7:E7"/>
    <x:mergeCell ref="F3:G3"/>
    <x:mergeCell ref="F4:G4"/>
    <x:mergeCell ref="F5:G5"/>
    <x:mergeCell ref="F6:G6"/>
    <x:mergeCell ref="F7:G7"/>
    <x:mergeCell ref="H3:I3"/>
    <x:mergeCell ref="H4:I4"/>
    <x:mergeCell ref="H5:I5"/>
    <x:mergeCell ref="H6:I6"/>
    <x:mergeCell ref="H7:I7"/>
    <x:mergeCell ref="J3:K3"/>
    <x:mergeCell ref="J4:K4"/>
    <x:mergeCell ref="J5:K5"/>
    <x:mergeCell ref="J6:K6"/>
    <x:mergeCell ref="J7:K7"/>
    <x:mergeCell ref="L3:M3"/>
    <x:mergeCell ref="L4:M4"/>
    <x:mergeCell ref="L5:M5"/>
    <x:mergeCell ref="L6:M6"/>
    <x:mergeCell ref="L7:M7"/>
    <x:mergeCell ref="A9:M9"/>
    <x:mergeCell ref="A10:A11"/>
    <x:mergeCell ref="B10:D10"/>
    <x:mergeCell ref="E10:G10"/>
    <x:mergeCell ref="H10:J10"/>
    <x:mergeCell ref="K10:M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14" hidden="0" customWidth="1"/>
    <x:col min="2" max="2" width="46.66999816894531" hidden="0" customWidth="1"/>
    <x:col min="3" max="3" width="17.780000686645508" hidden="0" customWidth="1"/>
    <x:col min="4" max="4" width="21.110000610351562" hidden="0" customWidth="1"/>
    <x:col min="5" max="5" width="17.219999313354492" hidden="0" customWidth="1"/>
    <x:col min="6" max="6" width="17.219999313354492" hidden="0" customWidth="1"/>
    <x:col min="7" max="7" width="17.219999313354492" hidden="0" customWidth="1"/>
    <x:col min="8" max="8" width="17.219999313354492" hidden="0" customWidth="1"/>
  </x:cols>
  <x:sheetData>
    <x:row r="1" ht="42" customHeight="1">
      <x:c r="A1" s="6" t="str">
        <x:v>Table S9. Task-level outcomes before and after planning-oriented optimization.</x:v>
      </x:c>
      <x:c r="B1" s="6"/>
      <x:c r="C1" s="6"/>
      <x:c r="D1" s="6"/>
      <x:c r="E1" s="6"/>
      <x:c r="F1" s="6"/>
      <x:c r="G1" s="6"/>
      <x:c r="H1" s="6"/>
    </x:row>
    <x:row r="2" ht="39" customHeight="1">
      <x:c r="A2" s="13" t="str">
        <x:v>Task ID</x:v>
      </x:c>
      <x:c r="B2" s="14" t="str">
        <x:v>Original source task ID</x:v>
      </x:c>
      <x:c r="C2" s="14" t="str">
        <x:v>Source benchmark</x:v>
      </x:c>
      <x:c r="D2" s="14" t="str">
        <x:v>Subject</x:v>
      </x:c>
      <x:c r="E2" s="14" t="str">
        <x:v>AutoBA</x:v>
      </x:c>
      <x:c r="F2" s="14" t="str">
        <x:v>AutoBA*</x:v>
      </x:c>
      <x:c r="G2" s="14" t="str">
        <x:v>BioMaster</x:v>
      </x:c>
      <x:c r="H2" s="15" t="str">
        <x:v>BioMaster*</x:v>
      </x:c>
    </x:row>
    <x:row r="3" ht="37.5" customHeight="1">
      <x:c r="A3" s="16" t="str">
        <x:v>BL-0576</x:v>
      </x:c>
      <x:c r="B3" s="72" t="str">
        <x:v>BioDSBench-1</x:v>
      </x:c>
      <x:c r="C3" s="72" t="str">
        <x:v>BioDSBench</x:v>
      </x:c>
      <x:c r="D3" s="72" t="str">
        <x:v>Data Operations</x:v>
      </x:c>
      <x:c r="E3" s="72" t="str">
        <x:v>Pass</x:v>
      </x:c>
      <x:c r="F3" s="72" t="str">
        <x:v>Pass</x:v>
      </x:c>
      <x:c r="G3" s="72" t="str">
        <x:v>Pass</x:v>
      </x:c>
      <x:c r="H3" s="73" t="str">
        <x:v>Pass</x:v>
      </x:c>
    </x:row>
    <x:row r="4" ht="37.5" customHeight="1">
      <x:c r="A4" s="20" t="str">
        <x:v>BL-0597</x:v>
      </x:c>
      <x:c r="B4" s="74" t="str">
        <x:v>BioDSBench-25</x:v>
      </x:c>
      <x:c r="C4" s="74" t="str">
        <x:v>BioDSBench</x:v>
      </x:c>
      <x:c r="D4" s="74" t="str">
        <x:v>Data Operations</x:v>
      </x:c>
      <x:c r="E4" s="74" t="str">
        <x:v>Pass</x:v>
      </x:c>
      <x:c r="F4" s="74" t="str">
        <x:v>Pass</x:v>
      </x:c>
      <x:c r="G4" s="74" t="str">
        <x:v>Fail</x:v>
      </x:c>
      <x:c r="H4" s="75" t="str">
        <x:v>Pass</x:v>
      </x:c>
    </x:row>
    <x:row r="5" ht="39" customHeight="1">
      <x:c r="A5" s="20" t="str">
        <x:v>BL-0612</x:v>
      </x:c>
      <x:c r="B5" s="74" t="str">
        <x:v>BioDSBench-54</x:v>
      </x:c>
      <x:c r="C5" s="74" t="str">
        <x:v>BioDSBench</x:v>
      </x:c>
      <x:c r="D5" s="74" t="str">
        <x:v>Descriptive statistics</x:v>
      </x:c>
      <x:c r="E5" s="74" t="str">
        <x:v>Pass</x:v>
      </x:c>
      <x:c r="F5" s="74" t="str">
        <x:v>Pass</x:v>
      </x:c>
      <x:c r="G5" s="74" t="str">
        <x:v>Fail</x:v>
      </x:c>
      <x:c r="H5" s="75" t="str">
        <x:v>Pass</x:v>
      </x:c>
    </x:row>
    <x:row r="6" ht="39" customHeight="1">
      <x:c r="A6" s="20" t="str">
        <x:v>BL-0643</x:v>
      </x:c>
      <x:c r="B6" s="74" t="str">
        <x:v>BioDSBench-98</x:v>
      </x:c>
      <x:c r="C6" s="74" t="str">
        <x:v>BioDSBench</x:v>
      </x:c>
      <x:c r="D6" s="74" t="str">
        <x:v>Data Operations</x:v>
      </x:c>
      <x:c r="E6" s="74" t="str">
        <x:v>Fail</x:v>
      </x:c>
      <x:c r="F6" s="74" t="str">
        <x:v>Pass</x:v>
      </x:c>
      <x:c r="G6" s="74" t="str">
        <x:v>Fail</x:v>
      </x:c>
      <x:c r="H6" s="75" t="str">
        <x:v>Fail</x:v>
      </x:c>
    </x:row>
    <x:row r="7" ht="39" customHeight="1">
      <x:c r="A7" s="20" t="str">
        <x:v>BL-0664</x:v>
      </x:c>
      <x:c r="B7" s="74" t="str">
        <x:v>BioDSBench-149</x:v>
      </x:c>
      <x:c r="C7" s="74" t="str">
        <x:v>BioDSBench</x:v>
      </x:c>
      <x:c r="D7" s="74" t="str">
        <x:v>Data Operations</x:v>
      </x:c>
      <x:c r="E7" s="74" t="str">
        <x:v>Fail</x:v>
      </x:c>
      <x:c r="F7" s="74" t="str">
        <x:v>Pass</x:v>
      </x:c>
      <x:c r="G7" s="74" t="str">
        <x:v>Fail</x:v>
      </x:c>
      <x:c r="H7" s="75" t="str">
        <x:v>Pass</x:v>
      </x:c>
    </x:row>
    <x:row r="8" ht="39" customHeight="1">
      <x:c r="A8" s="20" t="str">
        <x:v>BL-0261</x:v>
      </x:c>
      <x:c r="B8" s="74" t="str">
        <x:v>bixbench_bix-13-q1</x:v>
      </x:c>
      <x:c r="C8" s="74" t="str">
        <x:v>BixBench</x:v>
      </x:c>
      <x:c r="D8" s="74" t="str">
        <x:v>Descriptive statistics</x:v>
      </x:c>
      <x:c r="E8" s="74" t="str">
        <x:v>Fail</x:v>
      </x:c>
      <x:c r="F8" s="74" t="str">
        <x:v>Fail</x:v>
      </x:c>
      <x:c r="G8" s="74" t="str">
        <x:v>Fail</x:v>
      </x:c>
      <x:c r="H8" s="75" t="str">
        <x:v>Fail</x:v>
      </x:c>
    </x:row>
    <x:row r="9" ht="39" customHeight="1">
      <x:c r="A9" s="20" t="str">
        <x:v>BL-0265</x:v>
      </x:c>
      <x:c r="B9" s="74" t="str">
        <x:v>bixbench_bix-14-q1</x:v>
      </x:c>
      <x:c r="C9" s="74" t="str">
        <x:v>BixBench</x:v>
      </x:c>
      <x:c r="D9" s="74" t="str">
        <x:v>Descriptive statistics</x:v>
      </x:c>
      <x:c r="E9" s="74" t="str">
        <x:v>Fail</x:v>
      </x:c>
      <x:c r="F9" s="74" t="str">
        <x:v>Fail</x:v>
      </x:c>
      <x:c r="G9" s="74" t="str">
        <x:v>Fail</x:v>
      </x:c>
      <x:c r="H9" s="75" t="str">
        <x:v>Fail</x:v>
      </x:c>
    </x:row>
    <x:row r="10" ht="39" customHeight="1">
      <x:c r="A10" s="20" t="str">
        <x:v>BL-0363</x:v>
      </x:c>
      <x:c r="B10" s="74" t="str">
        <x:v>bixbench_bix-42-q1</x:v>
      </x:c>
      <x:c r="C10" s="74" t="str">
        <x:v>BixBench</x:v>
      </x:c>
      <x:c r="D10" s="74" t="str">
        <x:v>Descriptive statistics</x:v>
      </x:c>
      <x:c r="E10" s="74" t="str">
        <x:v>Fail</x:v>
      </x:c>
      <x:c r="F10" s="74" t="str">
        <x:v>Fail</x:v>
      </x:c>
      <x:c r="G10" s="74" t="str">
        <x:v>Fail</x:v>
      </x:c>
      <x:c r="H10" s="75" t="str">
        <x:v>Fail</x:v>
      </x:c>
    </x:row>
    <x:row r="11" ht="39" customHeight="1">
      <x:c r="A11" s="20" t="str">
        <x:v>BL-0390</x:v>
      </x:c>
      <x:c r="B11" s="74" t="str">
        <x:v>bixbench_bix-52-q1</x:v>
      </x:c>
      <x:c r="C11" s="74" t="str">
        <x:v>BixBench</x:v>
      </x:c>
      <x:c r="D11" s="74" t="str">
        <x:v>Descriptive statistics</x:v>
      </x:c>
      <x:c r="E11" s="74" t="str">
        <x:v>Fail</x:v>
      </x:c>
      <x:c r="F11" s="74" t="str">
        <x:v>Fail</x:v>
      </x:c>
      <x:c r="G11" s="74" t="str">
        <x:v>Fail</x:v>
      </x:c>
      <x:c r="H11" s="75" t="str">
        <x:v>Fail</x:v>
      </x:c>
    </x:row>
    <x:row r="12" ht="39" customHeight="1">
      <x:c r="A12" s="20" t="str">
        <x:v>BL-0424</x:v>
      </x:c>
      <x:c r="B12" s="74" t="str">
        <x:v>bixbench_bix-8-q1</x:v>
      </x:c>
      <x:c r="C12" s="74" t="str">
        <x:v>BixBench</x:v>
      </x:c>
      <x:c r="D12" s="74" t="str">
        <x:v>Descriptive statistics</x:v>
      </x:c>
      <x:c r="E12" s="74" t="str">
        <x:v>Fail</x:v>
      </x:c>
      <x:c r="F12" s="74" t="str">
        <x:v>Pass</x:v>
      </x:c>
      <x:c r="G12" s="74" t="str">
        <x:v>Fail</x:v>
      </x:c>
      <x:c r="H12" s="75" t="str">
        <x:v>Fail</x:v>
      </x:c>
    </x:row>
    <x:row r="13" ht="37.5" customHeight="1">
      <x:c r="A13" s="20" t="str">
        <x:v>BL-0579</x:v>
      </x:c>
      <x:c r="B13" s="74" t="str">
        <x:v>BioDSBench-4</x:v>
      </x:c>
      <x:c r="C13" s="74" t="str">
        <x:v>BioDSBench</x:v>
      </x:c>
      <x:c r="D13" s="74" t="str">
        <x:v>Descriptive statistics</x:v>
      </x:c>
      <x:c r="E13" s="74" t="str">
        <x:v>Pass</x:v>
      </x:c>
      <x:c r="F13" s="74" t="str">
        <x:v>Pass</x:v>
      </x:c>
      <x:c r="G13" s="74" t="str">
        <x:v>Pass</x:v>
      </x:c>
      <x:c r="H13" s="75" t="str">
        <x:v>Pass</x:v>
      </x:c>
    </x:row>
    <x:row r="14" ht="39" customHeight="1">
      <x:c r="A14" s="20" t="str">
        <x:v>BL-0580</x:v>
      </x:c>
      <x:c r="B14" s="74" t="str">
        <x:v>BioDSBench-5</x:v>
      </x:c>
      <x:c r="C14" s="74" t="str">
        <x:v>BioDSBench</x:v>
      </x:c>
      <x:c r="D14" s="74" t="str">
        <x:v>Descriptive statistics</x:v>
      </x:c>
      <x:c r="E14" s="74" t="str">
        <x:v>Fail</x:v>
      </x:c>
      <x:c r="F14" s="74" t="str">
        <x:v>Pass</x:v>
      </x:c>
      <x:c r="G14" s="74" t="str">
        <x:v>Fail</x:v>
      </x:c>
      <x:c r="H14" s="75" t="str">
        <x:v>Fail</x:v>
      </x:c>
    </x:row>
    <x:row r="15" ht="39" customHeight="1">
      <x:c r="A15" s="20" t="str">
        <x:v>BL-0589</x:v>
      </x:c>
      <x:c r="B15" s="74" t="str">
        <x:v>BioDSBench-16</x:v>
      </x:c>
      <x:c r="C15" s="74" t="str">
        <x:v>BioDSBench</x:v>
      </x:c>
      <x:c r="D15" s="74" t="str">
        <x:v>Inferential statistics</x:v>
      </x:c>
      <x:c r="E15" s="74" t="str">
        <x:v>Fail</x:v>
      </x:c>
      <x:c r="F15" s="74" t="str">
        <x:v>Pass</x:v>
      </x:c>
      <x:c r="G15" s="74" t="str">
        <x:v>Fail</x:v>
      </x:c>
      <x:c r="H15" s="75" t="str">
        <x:v>Fail</x:v>
      </x:c>
    </x:row>
    <x:row r="16" ht="39" customHeight="1">
      <x:c r="A16" s="20" t="str">
        <x:v>BL-0593</x:v>
      </x:c>
      <x:c r="B16" s="74" t="str">
        <x:v>BioDSBench-21</x:v>
      </x:c>
      <x:c r="C16" s="74" t="str">
        <x:v>BioDSBench</x:v>
      </x:c>
      <x:c r="D16" s="74" t="str">
        <x:v>Descriptive statistics</x:v>
      </x:c>
      <x:c r="E16" s="74" t="str">
        <x:v>Pass</x:v>
      </x:c>
      <x:c r="F16" s="74" t="str">
        <x:v>Pass</x:v>
      </x:c>
      <x:c r="G16" s="74" t="str">
        <x:v>Fail</x:v>
      </x:c>
      <x:c r="H16" s="75" t="str">
        <x:v>Pass</x:v>
      </x:c>
    </x:row>
    <x:row r="17" ht="39" customHeight="1">
      <x:c r="A17" s="20" t="str">
        <x:v>BL-0602</x:v>
      </x:c>
      <x:c r="B17" s="74" t="str">
        <x:v>BioDSBench-36</x:v>
      </x:c>
      <x:c r="C17" s="74" t="str">
        <x:v>BioDSBench</x:v>
      </x:c>
      <x:c r="D17" s="74" t="str">
        <x:v>Descriptive statistics</x:v>
      </x:c>
      <x:c r="E17" s="74" t="str">
        <x:v>Pass</x:v>
      </x:c>
      <x:c r="F17" s="74" t="str">
        <x:v>Fail</x:v>
      </x:c>
      <x:c r="G17" s="74" t="str">
        <x:v>Fail</x:v>
      </x:c>
      <x:c r="H17" s="75" t="str">
        <x:v>Fail</x:v>
      </x:c>
    </x:row>
    <x:row r="18" ht="39" customHeight="1">
      <x:c r="A18" s="20" t="str">
        <x:v>BL-0116</x:v>
      </x:c>
      <x:c r="B18" s="74" t="str">
        <x:v>biomed_aqa_218</x:v>
      </x:c>
      <x:c r="C18" s="74" t="str">
        <x:v>BioMed-AQA</x:v>
      </x:c>
      <x:c r="D18" s="74" t="str">
        <x:v>Inferential statistics</x:v>
      </x:c>
      <x:c r="E18" s="74" t="str">
        <x:v>Pass</x:v>
      </x:c>
      <x:c r="F18" s="74" t="str">
        <x:v>Pass</x:v>
      </x:c>
      <x:c r="G18" s="74" t="str">
        <x:v>Fail</x:v>
      </x:c>
      <x:c r="H18" s="75" t="str">
        <x:v>Fail</x:v>
      </x:c>
    </x:row>
    <x:row r="19" ht="39" customHeight="1">
      <x:c r="A19" s="20" t="str">
        <x:v>BL-0126</x:v>
      </x:c>
      <x:c r="B19" s="74" t="str">
        <x:v>biomed_aqa_229</x:v>
      </x:c>
      <x:c r="C19" s="74" t="str">
        <x:v>BioMed-AQA</x:v>
      </x:c>
      <x:c r="D19" s="74" t="str">
        <x:v>Inferential statistics</x:v>
      </x:c>
      <x:c r="E19" s="74" t="str">
        <x:v>Pass</x:v>
      </x:c>
      <x:c r="F19" s="74" t="str">
        <x:v>Pass</x:v>
      </x:c>
      <x:c r="G19" s="74" t="str">
        <x:v>Fail</x:v>
      </x:c>
      <x:c r="H19" s="75" t="str">
        <x:v>Fail</x:v>
      </x:c>
    </x:row>
    <x:row r="20" ht="39" customHeight="1">
      <x:c r="A20" s="20" t="str">
        <x:v>BL-0251</x:v>
      </x:c>
      <x:c r="B20" s="74" t="str">
        <x:v>bixbench_bix-11-q1</x:v>
      </x:c>
      <x:c r="C20" s="74" t="str">
        <x:v>BixBench</x:v>
      </x:c>
      <x:c r="D20" s="74" t="str">
        <x:v>Inferential statistics</x:v>
      </x:c>
      <x:c r="E20" s="74" t="str">
        <x:v>Fail</x:v>
      </x:c>
      <x:c r="F20" s="74" t="str">
        <x:v>Fail</x:v>
      </x:c>
      <x:c r="G20" s="74" t="str">
        <x:v>Fail</x:v>
      </x:c>
      <x:c r="H20" s="75" t="str">
        <x:v>Fail</x:v>
      </x:c>
    </x:row>
    <x:row r="21" ht="39" customHeight="1">
      <x:c r="A21" s="20" t="str">
        <x:v>BL-0268</x:v>
      </x:c>
      <x:c r="B21" s="74" t="str">
        <x:v>bixbench_bix-16-q1</x:v>
      </x:c>
      <x:c r="C21" s="74" t="str">
        <x:v>BixBench</x:v>
      </x:c>
      <x:c r="D21" s="74" t="str">
        <x:v>Inferential statistics</x:v>
      </x:c>
      <x:c r="E21" s="74" t="str">
        <x:v>Fail</x:v>
      </x:c>
      <x:c r="F21" s="74" t="str">
        <x:v>Fail</x:v>
      </x:c>
      <x:c r="G21" s="74" t="str">
        <x:v>Fail</x:v>
      </x:c>
      <x:c r="H21" s="75" t="str">
        <x:v>Fail</x:v>
      </x:c>
    </x:row>
    <x:row r="22" ht="39" customHeight="1">
      <x:c r="A22" s="20" t="str">
        <x:v>BL-0277</x:v>
      </x:c>
      <x:c r="B22" s="74" t="str">
        <x:v>bixbench_bix-19-q1</x:v>
      </x:c>
      <x:c r="C22" s="74" t="str">
        <x:v>BixBench</x:v>
      </x:c>
      <x:c r="D22" s="74" t="str">
        <x:v>Inferential statistics</x:v>
      </x:c>
      <x:c r="E22" s="74" t="str">
        <x:v>Pass</x:v>
      </x:c>
      <x:c r="F22" s="74" t="str">
        <x:v>Pass</x:v>
      </x:c>
      <x:c r="G22" s="74" t="str">
        <x:v>Fail</x:v>
      </x:c>
      <x:c r="H22" s="75" t="str">
        <x:v>Fail</x:v>
      </x:c>
    </x:row>
    <x:row r="23" ht="39" customHeight="1">
      <x:c r="A23" s="20" t="str">
        <x:v>BL-0289</x:v>
      </x:c>
      <x:c r="B23" s="74" t="str">
        <x:v>bixbench_bix-22-q1</x:v>
      </x:c>
      <x:c r="C23" s="74" t="str">
        <x:v>BixBench</x:v>
      </x:c>
      <x:c r="D23" s="74" t="str">
        <x:v>Descriptive statistics</x:v>
      </x:c>
      <x:c r="E23" s="74" t="str">
        <x:v>Fail</x:v>
      </x:c>
      <x:c r="F23" s="74" t="str">
        <x:v>Pass</x:v>
      </x:c>
      <x:c r="G23" s="74" t="str">
        <x:v>Fail</x:v>
      </x:c>
      <x:c r="H23" s="75" t="str">
        <x:v>Pass</x:v>
      </x:c>
    </x:row>
    <x:row r="24" ht="39" customHeight="1">
      <x:c r="A24" s="20" t="str">
        <x:v>BL-0338</x:v>
      </x:c>
      <x:c r="B24" s="74" t="str">
        <x:v>bixbench_bix-36-q1</x:v>
      </x:c>
      <x:c r="C24" s="74" t="str">
        <x:v>BixBench</x:v>
      </x:c>
      <x:c r="D24" s="74" t="str">
        <x:v>Inferential statistics</x:v>
      </x:c>
      <x:c r="E24" s="74" t="str">
        <x:v>Fail</x:v>
      </x:c>
      <x:c r="F24" s="74" t="str">
        <x:v>Fail</x:v>
      </x:c>
      <x:c r="G24" s="74" t="str">
        <x:v>Fail</x:v>
      </x:c>
      <x:c r="H24" s="75" t="str">
        <x:v>Fail</x:v>
      </x:c>
    </x:row>
    <x:row r="25" ht="39" customHeight="1">
      <x:c r="A25" s="20" t="str">
        <x:v>BL-0582</x:v>
      </x:c>
      <x:c r="B25" s="74" t="str">
        <x:v>BioDSBench-7</x:v>
      </x:c>
      <x:c r="C25" s="74" t="str">
        <x:v>BioDSBench</x:v>
      </x:c>
      <x:c r="D25" s="74" t="str">
        <x:v>Survival</x:v>
      </x:c>
      <x:c r="E25" s="74" t="str">
        <x:v>Fail</x:v>
      </x:c>
      <x:c r="F25" s="74" t="str">
        <x:v>Fail</x:v>
      </x:c>
      <x:c r="G25" s="74" t="str">
        <x:v>Fail</x:v>
      </x:c>
      <x:c r="H25" s="75" t="str">
        <x:v>Pass</x:v>
      </x:c>
    </x:row>
    <x:row r="26" ht="39" customHeight="1">
      <x:c r="A26" s="20" t="str">
        <x:v>BL-0591</x:v>
      </x:c>
      <x:c r="B26" s="74" t="str">
        <x:v>BioDSBench-19</x:v>
      </x:c>
      <x:c r="C26" s="74" t="str">
        <x:v>BioDSBench</x:v>
      </x:c>
      <x:c r="D26" s="74" t="str">
        <x:v>Survival</x:v>
      </x:c>
      <x:c r="E26" s="74" t="str">
        <x:v>Fail</x:v>
      </x:c>
      <x:c r="F26" s="74" t="str">
        <x:v>Pass</x:v>
      </x:c>
      <x:c r="G26" s="74" t="str">
        <x:v>Fail</x:v>
      </x:c>
      <x:c r="H26" s="75" t="str">
        <x:v>Fail</x:v>
      </x:c>
    </x:row>
    <x:row r="27" ht="39" customHeight="1">
      <x:c r="A27" s="20" t="str">
        <x:v>BL-0595</x:v>
      </x:c>
      <x:c r="B27" s="74" t="str">
        <x:v>BioDSBench-23</x:v>
      </x:c>
      <x:c r="C27" s="74" t="str">
        <x:v>BioDSBench</x:v>
      </x:c>
      <x:c r="D27" s="74" t="str">
        <x:v>Survival</x:v>
      </x:c>
      <x:c r="E27" s="74" t="str">
        <x:v>Fail</x:v>
      </x:c>
      <x:c r="F27" s="74" t="str">
        <x:v>Fail</x:v>
      </x:c>
      <x:c r="G27" s="74" t="str">
        <x:v>Fail</x:v>
      </x:c>
      <x:c r="H27" s="75" t="str">
        <x:v>Fail</x:v>
      </x:c>
    </x:row>
    <x:row r="28" ht="39" customHeight="1">
      <x:c r="A28" s="20" t="str">
        <x:v>BL-0609</x:v>
      </x:c>
      <x:c r="B28" s="74" t="str">
        <x:v>BioDSBench-50</x:v>
      </x:c>
      <x:c r="C28" s="74" t="str">
        <x:v>BioDSBench</x:v>
      </x:c>
      <x:c r="D28" s="74" t="str">
        <x:v>Survival</x:v>
      </x:c>
      <x:c r="E28" s="74" t="str">
        <x:v>Fail</x:v>
      </x:c>
      <x:c r="F28" s="74" t="str">
        <x:v>Fail</x:v>
      </x:c>
      <x:c r="G28" s="74" t="str">
        <x:v>Fail</x:v>
      </x:c>
      <x:c r="H28" s="75" t="str">
        <x:v>Fail</x:v>
      </x:c>
    </x:row>
    <x:row r="29" ht="39" customHeight="1">
      <x:c r="A29" s="20" t="str">
        <x:v>BL-0633</x:v>
      </x:c>
      <x:c r="B29" s="74" t="str">
        <x:v>BioDSBench-86</x:v>
      </x:c>
      <x:c r="C29" s="74" t="str">
        <x:v>BioDSBench</x:v>
      </x:c>
      <x:c r="D29" s="74" t="str">
        <x:v>Survival</x:v>
      </x:c>
      <x:c r="E29" s="74" t="str">
        <x:v>Fail</x:v>
      </x:c>
      <x:c r="F29" s="74" t="str">
        <x:v>Pass</x:v>
      </x:c>
      <x:c r="G29" s="74" t="str">
        <x:v>Fail</x:v>
      </x:c>
      <x:c r="H29" s="75" t="str">
        <x:v>Fail</x:v>
      </x:c>
    </x:row>
    <x:row r="30" ht="39" customHeight="1">
      <x:c r="A30" s="20" t="str">
        <x:v>BL-0634</x:v>
      </x:c>
      <x:c r="B30" s="74" t="str">
        <x:v>BioDSBench-87</x:v>
      </x:c>
      <x:c r="C30" s="74" t="str">
        <x:v>BioDSBench</x:v>
      </x:c>
      <x:c r="D30" s="74" t="str">
        <x:v>Survival</x:v>
      </x:c>
      <x:c r="E30" s="74" t="str">
        <x:v>Pass</x:v>
      </x:c>
      <x:c r="F30" s="74" t="str">
        <x:v>Pass</x:v>
      </x:c>
      <x:c r="G30" s="74" t="str">
        <x:v>Fail</x:v>
      </x:c>
      <x:c r="H30" s="75" t="str">
        <x:v>Fail</x:v>
      </x:c>
    </x:row>
    <x:row r="31" ht="39" customHeight="1">
      <x:c r="A31" s="20" t="str">
        <x:v>BL-0639</x:v>
      </x:c>
      <x:c r="B31" s="74" t="str">
        <x:v>BioDSBench-94</x:v>
      </x:c>
      <x:c r="C31" s="74" t="str">
        <x:v>BioDSBench</x:v>
      </x:c>
      <x:c r="D31" s="74" t="str">
        <x:v>Survival</x:v>
      </x:c>
      <x:c r="E31" s="74" t="str">
        <x:v>Fail</x:v>
      </x:c>
      <x:c r="F31" s="74" t="str">
        <x:v>Pass</x:v>
      </x:c>
      <x:c r="G31" s="74" t="str">
        <x:v>Fail</x:v>
      </x:c>
      <x:c r="H31" s="75" t="str">
        <x:v>Fail</x:v>
      </x:c>
    </x:row>
    <x:row r="32" ht="39" customHeight="1">
      <x:c r="A32" s="20" t="str">
        <x:v>BL-0645</x:v>
      </x:c>
      <x:c r="B32" s="74" t="str">
        <x:v>BioDSBench-100</x:v>
      </x:c>
      <x:c r="C32" s="74" t="str">
        <x:v>BioDSBench</x:v>
      </x:c>
      <x:c r="D32" s="74" t="str">
        <x:v>Survival</x:v>
      </x:c>
      <x:c r="E32" s="74" t="str">
        <x:v>Fail</x:v>
      </x:c>
      <x:c r="F32" s="74" t="str">
        <x:v>Fail</x:v>
      </x:c>
      <x:c r="G32" s="74" t="str">
        <x:v>Fail</x:v>
      </x:c>
      <x:c r="H32" s="75" t="str">
        <x:v>Pass</x:v>
      </x:c>
    </x:row>
    <x:row r="33" ht="39" customHeight="1">
      <x:c r="A33" s="20" t="str">
        <x:v>BL-0173</x:v>
      </x:c>
      <x:c r="B33" s="74" t="str">
        <x:v>biomed_aqa_286</x:v>
      </x:c>
      <x:c r="C33" s="74" t="str">
        <x:v>BioMed-AQA</x:v>
      </x:c>
      <x:c r="D33" s="74" t="str">
        <x:v>Fitting &amp; inference</x:v>
      </x:c>
      <x:c r="E33" s="74" t="str">
        <x:v>Fail</x:v>
      </x:c>
      <x:c r="F33" s="74" t="str">
        <x:v>Pass</x:v>
      </x:c>
      <x:c r="G33" s="74" t="str">
        <x:v>Fail</x:v>
      </x:c>
      <x:c r="H33" s="75" t="str">
        <x:v>Fail</x:v>
      </x:c>
    </x:row>
    <x:row r="34" ht="39" customHeight="1">
      <x:c r="A34" s="20" t="str">
        <x:v>BL-0175</x:v>
      </x:c>
      <x:c r="B34" s="74" t="str">
        <x:v>biomed_aqa_289</x:v>
      </x:c>
      <x:c r="C34" s="74" t="str">
        <x:v>BioMed-AQA</x:v>
      </x:c>
      <x:c r="D34" s="74" t="str">
        <x:v>Fitting &amp; inference</x:v>
      </x:c>
      <x:c r="E34" s="74" t="str">
        <x:v>Pass</x:v>
      </x:c>
      <x:c r="F34" s="74" t="str">
        <x:v>Pass</x:v>
      </x:c>
      <x:c r="G34" s="74" t="str">
        <x:v>Fail</x:v>
      </x:c>
      <x:c r="H34" s="75" t="str">
        <x:v>Pass</x:v>
      </x:c>
    </x:row>
    <x:row r="35" ht="39" customHeight="1">
      <x:c r="A35" s="20" t="str">
        <x:v>BL-0177</x:v>
      </x:c>
      <x:c r="B35" s="74" t="str">
        <x:v>biomed_aqa_293</x:v>
      </x:c>
      <x:c r="C35" s="74" t="str">
        <x:v>BioMed-AQA</x:v>
      </x:c>
      <x:c r="D35" s="74" t="str">
        <x:v>Fitting &amp; inference</x:v>
      </x:c>
      <x:c r="E35" s="74" t="str">
        <x:v>Pass</x:v>
      </x:c>
      <x:c r="F35" s="74" t="str">
        <x:v>Pass</x:v>
      </x:c>
      <x:c r="G35" s="74" t="str">
        <x:v>Fail</x:v>
      </x:c>
      <x:c r="H35" s="75" t="str">
        <x:v>Pass</x:v>
      </x:c>
    </x:row>
    <x:row r="36" ht="39" customHeight="1">
      <x:c r="A36" s="20" t="str">
        <x:v>BL-0179</x:v>
      </x:c>
      <x:c r="B36" s="74" t="str">
        <x:v>biomed_aqa_296</x:v>
      </x:c>
      <x:c r="C36" s="74" t="str">
        <x:v>BioMed-AQA</x:v>
      </x:c>
      <x:c r="D36" s="74" t="str">
        <x:v>Fitting &amp; inference</x:v>
      </x:c>
      <x:c r="E36" s="74" t="str">
        <x:v>Pass</x:v>
      </x:c>
      <x:c r="F36" s="74" t="str">
        <x:v>Pass</x:v>
      </x:c>
      <x:c r="G36" s="74" t="str">
        <x:v>Fail</x:v>
      </x:c>
      <x:c r="H36" s="75" t="str">
        <x:v>Pass</x:v>
      </x:c>
    </x:row>
    <x:row r="37" ht="39" customHeight="1">
      <x:c r="A37" s="20" t="str">
        <x:v>BL-0244</x:v>
      </x:c>
      <x:c r="B37" s="74" t="str">
        <x:v>bixbench_bix-10-q1</x:v>
      </x:c>
      <x:c r="C37" s="74" t="str">
        <x:v>BixBench</x:v>
      </x:c>
      <x:c r="D37" s="74" t="str">
        <x:v>Descriptive statistics</x:v>
      </x:c>
      <x:c r="E37" s="74" t="str">
        <x:v>Fail</x:v>
      </x:c>
      <x:c r="F37" s="74" t="str">
        <x:v>Pass</x:v>
      </x:c>
      <x:c r="G37" s="74" t="str">
        <x:v>Fail</x:v>
      </x:c>
      <x:c r="H37" s="75" t="str">
        <x:v>Fail</x:v>
      </x:c>
    </x:row>
    <x:row r="38" ht="39" customHeight="1">
      <x:c r="A38" s="20" t="str">
        <x:v>BL-0302</x:v>
      </x:c>
      <x:c r="B38" s="74" t="str">
        <x:v>bixbench_bix-27-q5</x:v>
      </x:c>
      <x:c r="C38" s="74" t="str">
        <x:v>BixBench</x:v>
      </x:c>
      <x:c r="D38" s="74" t="str">
        <x:v>Descriptive statistics</x:v>
      </x:c>
      <x:c r="E38" s="74" t="str">
        <x:v>Fail</x:v>
      </x:c>
      <x:c r="F38" s="74" t="str">
        <x:v>Fail</x:v>
      </x:c>
      <x:c r="G38" s="74" t="str">
        <x:v>Fail</x:v>
      </x:c>
      <x:c r="H38" s="75" t="str">
        <x:v>Fail</x:v>
      </x:c>
    </x:row>
    <x:row r="39" ht="39" customHeight="1">
      <x:c r="A39" s="20" t="str">
        <x:v>BL-0384</x:v>
      </x:c>
      <x:c r="B39" s="74" t="str">
        <x:v>bixbench_bix-51-q1</x:v>
      </x:c>
      <x:c r="C39" s="74" t="str">
        <x:v>BixBench</x:v>
      </x:c>
      <x:c r="D39" s="74" t="str">
        <x:v>Fitting &amp; inference</x:v>
      </x:c>
      <x:c r="E39" s="74" t="str">
        <x:v>Fail</x:v>
      </x:c>
      <x:c r="F39" s="74" t="str">
        <x:v>Fail</x:v>
      </x:c>
      <x:c r="G39" s="74" t="str">
        <x:v>Fail</x:v>
      </x:c>
      <x:c r="H39" s="75" t="str">
        <x:v>Fail</x:v>
      </x:c>
    </x:row>
    <x:row r="40" ht="37.5" customHeight="1">
      <x:c r="A40" s="20" t="str">
        <x:v>BL-0385</x:v>
      </x:c>
      <x:c r="B40" s="74" t="str">
        <x:v>bixbench_bix-51-q2</x:v>
      </x:c>
      <x:c r="C40" s="74" t="str">
        <x:v>BixBench</x:v>
      </x:c>
      <x:c r="D40" s="74" t="str">
        <x:v>Fitting &amp; inference</x:v>
      </x:c>
      <x:c r="E40" s="74" t="str">
        <x:v>Pass</x:v>
      </x:c>
      <x:c r="F40" s="74" t="str">
        <x:v>Pass</x:v>
      </x:c>
      <x:c r="G40" s="74" t="str">
        <x:v>Pass</x:v>
      </x:c>
      <x:c r="H40" s="75" t="str">
        <x:v>Pass</x:v>
      </x:c>
    </x:row>
    <x:row r="41" ht="39" customHeight="1">
      <x:c r="A41" s="20" t="str">
        <x:v>BL-0587</x:v>
      </x:c>
      <x:c r="B41" s="74" t="str">
        <x:v>BioDSBench-14</x:v>
      </x:c>
      <x:c r="C41" s="74" t="str">
        <x:v>BioDSBench</x:v>
      </x:c>
      <x:c r="D41" s="74" t="str">
        <x:v>Basic plot</x:v>
      </x:c>
      <x:c r="E41" s="74" t="str">
        <x:v>Fail</x:v>
      </x:c>
      <x:c r="F41" s="74" t="str">
        <x:v>Fail</x:v>
      </x:c>
      <x:c r="G41" s="74" t="str">
        <x:v>Fail</x:v>
      </x:c>
      <x:c r="H41" s="75" t="str">
        <x:v>Pass</x:v>
      </x:c>
    </x:row>
    <x:row r="42" ht="39" customHeight="1">
      <x:c r="A42" s="20" t="str">
        <x:v>BL-0642</x:v>
      </x:c>
      <x:c r="B42" s="74" t="str">
        <x:v>BioDSBench-97</x:v>
      </x:c>
      <x:c r="C42" s="74" t="str">
        <x:v>BioDSBench</x:v>
      </x:c>
      <x:c r="D42" s="74" t="str">
        <x:v>Other</x:v>
      </x:c>
      <x:c r="E42" s="74" t="str">
        <x:v>Fail</x:v>
      </x:c>
      <x:c r="F42" s="74" t="str">
        <x:v>Fail</x:v>
      </x:c>
      <x:c r="G42" s="74" t="str">
        <x:v>Fail</x:v>
      </x:c>
      <x:c r="H42" s="75" t="str">
        <x:v>Fail</x:v>
      </x:c>
    </x:row>
    <x:row r="43" ht="39" customHeight="1">
      <x:c r="A43" s="20" t="str">
        <x:v>BL-0134</x:v>
      </x:c>
      <x:c r="B43" s="74" t="str">
        <x:v>biomed_aqa_237</x:v>
      </x:c>
      <x:c r="C43" s="74" t="str">
        <x:v>BioMed-AQA</x:v>
      </x:c>
      <x:c r="D43" s="74" t="str">
        <x:v>Basic plot</x:v>
      </x:c>
      <x:c r="E43" s="74" t="str">
        <x:v>Pass</x:v>
      </x:c>
      <x:c r="F43" s="74" t="str">
        <x:v>Pass</x:v>
      </x:c>
      <x:c r="G43" s="74" t="str">
        <x:v>Fail</x:v>
      </x:c>
      <x:c r="H43" s="75" t="str">
        <x:v>Pass</x:v>
      </x:c>
    </x:row>
    <x:row r="44" ht="39" customHeight="1">
      <x:c r="A44" s="20" t="str">
        <x:v>BL-0137</x:v>
      </x:c>
      <x:c r="B44" s="74" t="str">
        <x:v>biomed_aqa_240</x:v>
      </x:c>
      <x:c r="C44" s="74" t="str">
        <x:v>BioMed-AQA</x:v>
      </x:c>
      <x:c r="D44" s="74" t="str">
        <x:v>Basic plot</x:v>
      </x:c>
      <x:c r="E44" s="74" t="str">
        <x:v>Pass</x:v>
      </x:c>
      <x:c r="F44" s="74" t="str">
        <x:v>Pass</x:v>
      </x:c>
      <x:c r="G44" s="74" t="str">
        <x:v>Fail</x:v>
      </x:c>
      <x:c r="H44" s="75" t="str">
        <x:v>Pass</x:v>
      </x:c>
    </x:row>
    <x:row r="45" ht="39" customHeight="1">
      <x:c r="A45" s="20" t="str">
        <x:v>BL-0145</x:v>
      </x:c>
      <x:c r="B45" s="74" t="str">
        <x:v>biomed_aqa_248</x:v>
      </x:c>
      <x:c r="C45" s="74" t="str">
        <x:v>BioMed-AQA</x:v>
      </x:c>
      <x:c r="D45" s="74" t="str">
        <x:v>Basic plot</x:v>
      </x:c>
      <x:c r="E45" s="74" t="str">
        <x:v>Pass</x:v>
      </x:c>
      <x:c r="F45" s="74" t="str">
        <x:v>Pass</x:v>
      </x:c>
      <x:c r="G45" s="74" t="str">
        <x:v>Fail</x:v>
      </x:c>
      <x:c r="H45" s="75" t="str">
        <x:v>Pass</x:v>
      </x:c>
    </x:row>
    <x:row r="46" ht="37.5" customHeight="1">
      <x:c r="A46" s="20" t="str">
        <x:v>BL-0149</x:v>
      </x:c>
      <x:c r="B46" s="74" t="str">
        <x:v>biomed_aqa_258</x:v>
      </x:c>
      <x:c r="C46" s="74" t="str">
        <x:v>BioMed-AQA</x:v>
      </x:c>
      <x:c r="D46" s="74" t="str">
        <x:v>Upset</x:v>
      </x:c>
      <x:c r="E46" s="74" t="str">
        <x:v>Pass</x:v>
      </x:c>
      <x:c r="F46" s="74" t="str">
        <x:v>Pass</x:v>
      </x:c>
      <x:c r="G46" s="74" t="str">
        <x:v>Pass</x:v>
      </x:c>
      <x:c r="H46" s="75" t="str">
        <x:v>Pass</x:v>
      </x:c>
    </x:row>
    <x:row r="47" ht="39" customHeight="1">
      <x:c r="A47" s="20" t="str">
        <x:v>BL-0152</x:v>
      </x:c>
      <x:c r="B47" s="74" t="str">
        <x:v>biomed_aqa_261</x:v>
      </x:c>
      <x:c r="C47" s="74" t="str">
        <x:v>BioMed-AQA</x:v>
      </x:c>
      <x:c r="D47" s="74" t="str">
        <x:v>Upset</x:v>
      </x:c>
      <x:c r="E47" s="74" t="str">
        <x:v>Pass</x:v>
      </x:c>
      <x:c r="F47" s="74" t="str">
        <x:v>Pass</x:v>
      </x:c>
      <x:c r="G47" s="74" t="str">
        <x:v>Fail</x:v>
      </x:c>
      <x:c r="H47" s="75" t="str">
        <x:v>Pass</x:v>
      </x:c>
    </x:row>
    <x:row r="48" ht="39" customHeight="1">
      <x:c r="A48" s="20" t="str">
        <x:v>BL-0155</x:v>
      </x:c>
      <x:c r="B48" s="74" t="str">
        <x:v>biomed_aqa_264</x:v>
      </x:c>
      <x:c r="C48" s="74" t="str">
        <x:v>BioMed-AQA</x:v>
      </x:c>
      <x:c r="D48" s="74" t="str">
        <x:v>Upset</x:v>
      </x:c>
      <x:c r="E48" s="74" t="str">
        <x:v>Fail</x:v>
      </x:c>
      <x:c r="F48" s="74" t="str">
        <x:v>Pass</x:v>
      </x:c>
      <x:c r="G48" s="74" t="str">
        <x:v>Fail</x:v>
      </x:c>
      <x:c r="H48" s="75" t="str">
        <x:v>Fail</x:v>
      </x:c>
    </x:row>
    <x:row r="49" ht="39" customHeight="1">
      <x:c r="A49" s="20" t="str">
        <x:v>BL-0189</x:v>
      </x:c>
      <x:c r="B49" s="74" t="str">
        <x:v>biomed_aqa_317</x:v>
      </x:c>
      <x:c r="C49" s="74" t="str">
        <x:v>BioMed-AQA</x:v>
      </x:c>
      <x:c r="D49" s="74" t="str">
        <x:v>Other</x:v>
      </x:c>
      <x:c r="E49" s="74" t="str">
        <x:v>Pass</x:v>
      </x:c>
      <x:c r="F49" s="74" t="str">
        <x:v>Pass</x:v>
      </x:c>
      <x:c r="G49" s="74" t="str">
        <x:v>Fail</x:v>
      </x:c>
      <x:c r="H49" s="75" t="str">
        <x:v>Pass</x:v>
      </x:c>
    </x:row>
    <x:row r="50" ht="39" customHeight="1">
      <x:c r="A50" s="20" t="str">
        <x:v>BL-0196</x:v>
      </x:c>
      <x:c r="B50" s="74" t="str">
        <x:v>biomed_aqa_324</x:v>
      </x:c>
      <x:c r="C50" s="74" t="str">
        <x:v>BioMed-AQA</x:v>
      </x:c>
      <x:c r="D50" s="74" t="str">
        <x:v>Other</x:v>
      </x:c>
      <x:c r="E50" s="74" t="str">
        <x:v>Pass</x:v>
      </x:c>
      <x:c r="F50" s="74" t="str">
        <x:v>Pass</x:v>
      </x:c>
      <x:c r="G50" s="74" t="str">
        <x:v>Fail</x:v>
      </x:c>
      <x:c r="H50" s="75" t="str">
        <x:v>Pass</x:v>
      </x:c>
    </x:row>
    <x:row r="51" ht="39" customHeight="1">
      <x:c r="A51" s="20" t="str">
        <x:v>BL-0004</x:v>
      </x:c>
      <x:c r="B51" s="74" t="str">
        <x:v>biomed_aqa_1</x:v>
      </x:c>
      <x:c r="C51" s="74" t="str">
        <x:v>BioMed-AQA</x:v>
      </x:c>
      <x:c r="D51" s="74" t="str">
        <x:v>DNA</x:v>
      </x:c>
      <x:c r="E51" s="74" t="str">
        <x:v>Fail</x:v>
      </x:c>
      <x:c r="F51" s="74" t="str">
        <x:v>Fail</x:v>
      </x:c>
      <x:c r="G51" s="74" t="str">
        <x:v>Fail</x:v>
      </x:c>
      <x:c r="H51" s="75" t="str">
        <x:v>Fail</x:v>
      </x:c>
    </x:row>
    <x:row r="52" ht="39" customHeight="1">
      <x:c r="A52" s="20" t="str">
        <x:v>BL-0009</x:v>
      </x:c>
      <x:c r="B52" s="74" t="str">
        <x:v>biomed_aqa_9</x:v>
      </x:c>
      <x:c r="C52" s="74" t="str">
        <x:v>BioMed-AQA</x:v>
      </x:c>
      <x:c r="D52" s="74" t="str">
        <x:v>DNA</x:v>
      </x:c>
      <x:c r="E52" s="74" t="str">
        <x:v>Fail</x:v>
      </x:c>
      <x:c r="F52" s="74" t="str">
        <x:v>Fail</x:v>
      </x:c>
      <x:c r="G52" s="74" t="str">
        <x:v>Fail</x:v>
      </x:c>
      <x:c r="H52" s="75" t="str">
        <x:v>Fail</x:v>
      </x:c>
    </x:row>
    <x:row r="53" ht="39" customHeight="1">
      <x:c r="A53" s="20" t="str">
        <x:v>BL-0019</x:v>
      </x:c>
      <x:c r="B53" s="74" t="str">
        <x:v>biomed_aqa_25</x:v>
      </x:c>
      <x:c r="C53" s="74" t="str">
        <x:v>BioMed-AQA</x:v>
      </x:c>
      <x:c r="D53" s="74" t="str">
        <x:v>DNA</x:v>
      </x:c>
      <x:c r="E53" s="74" t="str">
        <x:v>Fail</x:v>
      </x:c>
      <x:c r="F53" s="74" t="str">
        <x:v>Fail</x:v>
      </x:c>
      <x:c r="G53" s="74" t="str">
        <x:v>Fail</x:v>
      </x:c>
      <x:c r="H53" s="75" t="str">
        <x:v>Fail</x:v>
      </x:c>
    </x:row>
    <x:row r="54" ht="39" customHeight="1">
      <x:c r="A54" s="20" t="str">
        <x:v>BL-0022</x:v>
      </x:c>
      <x:c r="B54" s="74" t="str">
        <x:v>biomed_aqa_31</x:v>
      </x:c>
      <x:c r="C54" s="74" t="str">
        <x:v>BioMed-AQA</x:v>
      </x:c>
      <x:c r="D54" s="74" t="str">
        <x:v>DNA</x:v>
      </x:c>
      <x:c r="E54" s="74" t="str">
        <x:v>Fail</x:v>
      </x:c>
      <x:c r="F54" s="74" t="str">
        <x:v>Fail</x:v>
      </x:c>
      <x:c r="G54" s="74" t="str">
        <x:v>Fail</x:v>
      </x:c>
      <x:c r="H54" s="75" t="str">
        <x:v>Fail</x:v>
      </x:c>
    </x:row>
    <x:row r="55" ht="39" customHeight="1">
      <x:c r="A55" s="20" t="str">
        <x:v>BL-0025</x:v>
      </x:c>
      <x:c r="B55" s="74" t="str">
        <x:v>biomed_aqa_50</x:v>
      </x:c>
      <x:c r="C55" s="74" t="str">
        <x:v>BioMed-AQA</x:v>
      </x:c>
      <x:c r="D55" s="74" t="str">
        <x:v>RNA</x:v>
      </x:c>
      <x:c r="E55" s="74" t="str">
        <x:v>Fail</x:v>
      </x:c>
      <x:c r="F55" s="74" t="str">
        <x:v>Fail</x:v>
      </x:c>
      <x:c r="G55" s="74" t="str">
        <x:v>Fail</x:v>
      </x:c>
      <x:c r="H55" s="75" t="str">
        <x:v>Fail</x:v>
      </x:c>
    </x:row>
    <x:row r="56" ht="39" customHeight="1">
      <x:c r="A56" s="20" t="str">
        <x:v>BL-0028</x:v>
      </x:c>
      <x:c r="B56" s="74" t="str">
        <x:v>biomed_aqa_55</x:v>
      </x:c>
      <x:c r="C56" s="74" t="str">
        <x:v>BioMed-AQA</x:v>
      </x:c>
      <x:c r="D56" s="74" t="str">
        <x:v>RNA</x:v>
      </x:c>
      <x:c r="E56" s="74" t="str">
        <x:v>Fail</x:v>
      </x:c>
      <x:c r="F56" s="74" t="str">
        <x:v>Fail</x:v>
      </x:c>
      <x:c r="G56" s="74" t="str">
        <x:v>Fail</x:v>
      </x:c>
      <x:c r="H56" s="75" t="str">
        <x:v>Fail</x:v>
      </x:c>
    </x:row>
    <x:row r="57" ht="39" customHeight="1">
      <x:c r="A57" s="20" t="str">
        <x:v>BL-0242</x:v>
      </x:c>
      <x:c r="B57" s="74" t="str">
        <x:v>bixbench_bix-1-q1</x:v>
      </x:c>
      <x:c r="C57" s="74" t="str">
        <x:v>BixBench</x:v>
      </x:c>
      <x:c r="D57" s="74" t="str">
        <x:v>Inferential statistics</x:v>
      </x:c>
      <x:c r="E57" s="74" t="str">
        <x:v>Fail</x:v>
      </x:c>
      <x:c r="F57" s="74" t="str">
        <x:v>Fail</x:v>
      </x:c>
      <x:c r="G57" s="74" t="str">
        <x:v>Fail</x:v>
      </x:c>
      <x:c r="H57" s="75" t="str">
        <x:v>Fail</x:v>
      </x:c>
    </x:row>
    <x:row r="58" ht="39" customHeight="1">
      <x:c r="A58" s="20" t="str">
        <x:v>BL-0293</x:v>
      </x:c>
      <x:c r="B58" s="74" t="str">
        <x:v>bixbench_bix-24-q1</x:v>
      </x:c>
      <x:c r="C58" s="74" t="str">
        <x:v>BixBench</x:v>
      </x:c>
      <x:c r="D58" s="74" t="str">
        <x:v>Inferential statistics</x:v>
      </x:c>
      <x:c r="E58" s="74" t="str">
        <x:v>Fail</x:v>
      </x:c>
      <x:c r="F58" s="74" t="str">
        <x:v>Pass</x:v>
      </x:c>
      <x:c r="G58" s="74" t="str">
        <x:v>Fail</x:v>
      </x:c>
      <x:c r="H58" s="75" t="str">
        <x:v>Fail</x:v>
      </x:c>
    </x:row>
    <x:row r="59" ht="39" customHeight="1">
      <x:c r="A59" s="20" t="str">
        <x:v>BL-0335</x:v>
      </x:c>
      <x:c r="B59" s="74" t="str">
        <x:v>bixbench_bix-35-q1</x:v>
      </x:c>
      <x:c r="C59" s="74" t="str">
        <x:v>BixBench</x:v>
      </x:c>
      <x:c r="D59" s="74" t="str">
        <x:v>Descriptive statistics</x:v>
      </x:c>
      <x:c r="E59" s="74" t="str">
        <x:v>Fail</x:v>
      </x:c>
      <x:c r="F59" s="74" t="str">
        <x:v>Fail</x:v>
      </x:c>
      <x:c r="G59" s="74" t="str">
        <x:v>Fail</x:v>
      </x:c>
      <x:c r="H59" s="75" t="str">
        <x:v>Fail</x:v>
      </x:c>
    </x:row>
    <x:row r="60" ht="39" customHeight="1">
      <x:c r="A60" s="20" t="str">
        <x:v>BL-0404</x:v>
      </x:c>
      <x:c r="B60" s="74" t="str">
        <x:v>bixbench_bix-55-q1</x:v>
      </x:c>
      <x:c r="C60" s="74" t="str">
        <x:v>BixBench</x:v>
      </x:c>
      <x:c r="D60" s="74" t="str">
        <x:v>Descriptive statistics</x:v>
      </x:c>
      <x:c r="E60" s="74" t="str">
        <x:v>Fail</x:v>
      </x:c>
      <x:c r="F60" s="74" t="str">
        <x:v>Pass</x:v>
      </x:c>
      <x:c r="G60" s="74" t="str">
        <x:v>Fail</x:v>
      </x:c>
      <x:c r="H60" s="75" t="str">
        <x:v>Fail</x:v>
      </x:c>
    </x:row>
    <x:row r="61" ht="39" customHeight="1">
      <x:c r="A61" s="20" t="str">
        <x:v>BL-0406</x:v>
      </x:c>
      <x:c r="B61" s="74" t="str">
        <x:v>bixbench_bix-57-q1</x:v>
      </x:c>
      <x:c r="C61" s="74" t="str">
        <x:v>BixBench</x:v>
      </x:c>
      <x:c r="D61" s="74" t="str">
        <x:v>Descriptive statistics</x:v>
      </x:c>
      <x:c r="E61" s="74" t="str">
        <x:v>Fail</x:v>
      </x:c>
      <x:c r="F61" s="74" t="str">
        <x:v>Fail</x:v>
      </x:c>
      <x:c r="G61" s="74" t="str">
        <x:v>Fail</x:v>
      </x:c>
      <x:c r="H61" s="75" t="str">
        <x:v>Fail</x:v>
      </x:c>
    </x:row>
    <x:row r="62" ht="39" customHeight="1">
      <x:c r="A62" s="20" t="str">
        <x:v>BL-0407</x:v>
      </x:c>
      <x:c r="B62" s="74" t="str">
        <x:v>bixbench_bix-58-q1</x:v>
      </x:c>
      <x:c r="C62" s="74" t="str">
        <x:v>BixBench</x:v>
      </x:c>
      <x:c r="D62" s="74" t="str">
        <x:v>Descriptive statistics</x:v>
      </x:c>
      <x:c r="E62" s="74" t="str">
        <x:v>Pass</x:v>
      </x:c>
      <x:c r="F62" s="74" t="str">
        <x:v>Pass</x:v>
      </x:c>
      <x:c r="G62" s="74" t="str">
        <x:v>Fail</x:v>
      </x:c>
      <x:c r="H62" s="75" t="str">
        <x:v>Pass</x:v>
      </x:c>
    </x:row>
    <x:row r="63" ht="39" customHeight="1">
      <x:c r="A63" s="20" t="str">
        <x:v>BL-0210</x:v>
      </x:c>
      <x:c r="B63" s="74" t="str">
        <x:v>biomni_lab_bench_seqqa_524</x:v>
      </x:c>
      <x:c r="C63" s="74" t="str">
        <x:v>Biomni-Eval</x:v>
      </x:c>
      <x:c r="D63" s="74" t="str">
        <x:v>Genetic</x:v>
      </x:c>
      <x:c r="E63" s="74" t="str">
        <x:v>Fail</x:v>
      </x:c>
      <x:c r="F63" s="74" t="str">
        <x:v>Fail</x:v>
      </x:c>
      <x:c r="G63" s="74" t="str">
        <x:v>Fail</x:v>
      </x:c>
      <x:c r="H63" s="75" t="str">
        <x:v>Fail</x:v>
      </x:c>
    </x:row>
    <x:row r="64" ht="39" customHeight="1">
      <x:c r="A64" s="20" t="str">
        <x:v>BL-0211</x:v>
      </x:c>
      <x:c r="B64" s="74" t="str">
        <x:v>biomni_lab_bench_seqqa_378</x:v>
      </x:c>
      <x:c r="C64" s="74" t="str">
        <x:v>Biomni-Eval</x:v>
      </x:c>
      <x:c r="D64" s="74" t="str">
        <x:v>Genetic</x:v>
      </x:c>
      <x:c r="E64" s="74" t="str">
        <x:v>Pass</x:v>
      </x:c>
      <x:c r="F64" s="74" t="str">
        <x:v>Pass</x:v>
      </x:c>
      <x:c r="G64" s="74" t="str">
        <x:v>Fail</x:v>
      </x:c>
      <x:c r="H64" s="75" t="str">
        <x:v>Fail</x:v>
      </x:c>
    </x:row>
    <x:row r="65" ht="39" customHeight="1">
      <x:c r="A65" s="20" t="str">
        <x:v>BL-0212</x:v>
      </x:c>
      <x:c r="B65" s="74" t="str">
        <x:v>biomni_lab_bench_seqqa_128</x:v>
      </x:c>
      <x:c r="C65" s="74" t="str">
        <x:v>Biomni-Eval</x:v>
      </x:c>
      <x:c r="D65" s="74" t="str">
        <x:v>Genetic</x:v>
      </x:c>
      <x:c r="E65" s="74" t="str">
        <x:v>Pass</x:v>
      </x:c>
      <x:c r="F65" s="74" t="str">
        <x:v>Fail</x:v>
      </x:c>
      <x:c r="G65" s="74" t="str">
        <x:v>Fail</x:v>
      </x:c>
      <x:c r="H65" s="75" t="str">
        <x:v>Pass</x:v>
      </x:c>
    </x:row>
    <x:row r="66" ht="39" customHeight="1">
      <x:c r="A66" s="20" t="str">
        <x:v>BL-0213</x:v>
      </x:c>
      <x:c r="B66" s="74" t="str">
        <x:v>biomni_lab_bench_seqqa_52</x:v>
      </x:c>
      <x:c r="C66" s="74" t="str">
        <x:v>Biomni-Eval</x:v>
      </x:c>
      <x:c r="D66" s="74" t="str">
        <x:v>Genetic</x:v>
      </x:c>
      <x:c r="E66" s="74" t="str">
        <x:v>Pass</x:v>
      </x:c>
      <x:c r="F66" s="74" t="str">
        <x:v>Pass</x:v>
      </x:c>
      <x:c r="G66" s="74" t="str">
        <x:v>Fail</x:v>
      </x:c>
      <x:c r="H66" s="75" t="str">
        <x:v>Fail</x:v>
      </x:c>
    </x:row>
    <x:row r="67" ht="39" customHeight="1">
      <x:c r="A67" s="20" t="str">
        <x:v>BL-0497</x:v>
      </x:c>
      <x:c r="B67" s="74" t="str">
        <x:v>labbench_298466bc-8295-4062-89fd-05cd1609ca62</x:v>
      </x:c>
      <x:c r="C67" s="74" t="str">
        <x:v>LAB-Bench</x:v>
      </x:c>
      <x:c r="D67" s="74" t="str">
        <x:v>Genetic</x:v>
      </x:c>
      <x:c r="E67" s="74" t="str">
        <x:v>Fail</x:v>
      </x:c>
      <x:c r="F67" s="74" t="str">
        <x:v>Fail</x:v>
      </x:c>
      <x:c r="G67" s="74" t="str">
        <x:v>Fail</x:v>
      </x:c>
      <x:c r="H67" s="75" t="str">
        <x:v>Fail</x:v>
      </x:c>
    </x:row>
    <x:row r="68" ht="39" customHeight="1">
      <x:c r="A68" s="20" t="str">
        <x:v>BL-0507</x:v>
      </x:c>
      <x:c r="B68" s="74" t="str">
        <x:v>labbench_27e661ad-a491-4a36-9dd3-248327db35a5</x:v>
      </x:c>
      <x:c r="C68" s="74" t="str">
        <x:v>LAB-Bench</x:v>
      </x:c>
      <x:c r="D68" s="74" t="str">
        <x:v>Genetic</x:v>
      </x:c>
      <x:c r="E68" s="74" t="str">
        <x:v>Fail</x:v>
      </x:c>
      <x:c r="F68" s="74" t="str">
        <x:v>Fail</x:v>
      </x:c>
      <x:c r="G68" s="74" t="str">
        <x:v>Fail</x:v>
      </x:c>
      <x:c r="H68" s="75" t="str">
        <x:v>Fail</x:v>
      </x:c>
    </x:row>
    <x:row r="69" ht="39" customHeight="1">
      <x:c r="A69" s="20" t="str">
        <x:v>BL-0722</x:v>
      </x:c>
      <x:c r="B69" s="74" t="str">
        <x:v>labbench_fe04cd5a-b6b4-4afe-8fa1-f115cdb782ea</x:v>
      </x:c>
      <x:c r="C69" s="74" t="str">
        <x:v>LAB-Bench</x:v>
      </x:c>
      <x:c r="D69" s="74" t="str">
        <x:v>Genetic</x:v>
      </x:c>
      <x:c r="E69" s="74" t="str">
        <x:v>Pass</x:v>
      </x:c>
      <x:c r="F69" s="74" t="str">
        <x:v>Fail</x:v>
      </x:c>
      <x:c r="G69" s="74" t="str">
        <x:v>Fail</x:v>
      </x:c>
      <x:c r="H69" s="75" t="str">
        <x:v>Pass</x:v>
      </x:c>
    </x:row>
    <x:row r="70" ht="39" customHeight="1">
      <x:c r="A70" s="20" t="str">
        <x:v>BL-0532</x:v>
      </x:c>
      <x:c r="B70" s="74" t="str">
        <x:v>labbench_4b669efe-3bf5-41ce-8c5c-19fa2145745a</x:v>
      </x:c>
      <x:c r="C70" s="74" t="str">
        <x:v>LAB-Bench</x:v>
      </x:c>
      <x:c r="D70" s="74" t="str">
        <x:v>Genetic</x:v>
      </x:c>
      <x:c r="E70" s="74" t="str">
        <x:v>Pass</x:v>
      </x:c>
      <x:c r="F70" s="74" t="str">
        <x:v>Pass</x:v>
      </x:c>
      <x:c r="G70" s="74" t="str">
        <x:v>Fail</x:v>
      </x:c>
      <x:c r="H70" s="75" t="str">
        <x:v>Fail</x:v>
      </x:c>
    </x:row>
    <x:row r="71" ht="39" customHeight="1">
      <x:c r="A71" s="20" t="str">
        <x:v>BL-0547</x:v>
      </x:c>
      <x:c r="B71" s="74" t="str">
        <x:v>labbench_cc785251-aac6-4a33-8b8a-09979a81ad2b</x:v>
      </x:c>
      <x:c r="C71" s="74" t="str">
        <x:v>LAB-Bench</x:v>
      </x:c>
      <x:c r="D71" s="74" t="str">
        <x:v>Genetic</x:v>
      </x:c>
      <x:c r="E71" s="74" t="str">
        <x:v>Pass</x:v>
      </x:c>
      <x:c r="F71" s="74" t="str">
        <x:v>Pass</x:v>
      </x:c>
      <x:c r="G71" s="74" t="str">
        <x:v>Fail</x:v>
      </x:c>
      <x:c r="H71" s="75" t="str">
        <x:v>Pass</x:v>
      </x:c>
    </x:row>
    <x:row r="72" ht="39" customHeight="1">
      <x:c r="A72" s="20" t="str">
        <x:v>BL-0571</x:v>
      </x:c>
      <x:c r="B72" s="74" t="str">
        <x:v>labbench_85bfae8c-5ca5-4cc7-a304-642262294715</x:v>
      </x:c>
      <x:c r="C72" s="74" t="str">
        <x:v>LAB-Bench</x:v>
      </x:c>
      <x:c r="D72" s="74" t="str">
        <x:v>Genetic</x:v>
      </x:c>
      <x:c r="E72" s="74" t="str">
        <x:v>Fail</x:v>
      </x:c>
      <x:c r="F72" s="74" t="str">
        <x:v>Fail</x:v>
      </x:c>
      <x:c r="G72" s="74" t="str">
        <x:v>Fail</x:v>
      </x:c>
      <x:c r="H72" s="75" t="str">
        <x:v>Fail</x:v>
      </x:c>
    </x:row>
    <x:row r="73" ht="39" customHeight="1">
      <x:c r="A73" s="20" t="str">
        <x:v>BL-0228</x:v>
      </x:c>
      <x:c r="B73" s="74" t="str">
        <x:v>biomni_lab_bench_dbqa_43</x:v>
      </x:c>
      <x:c r="C73" s="74" t="str">
        <x:v>Biomni-Eval</x:v>
      </x:c>
      <x:c r="D73" s="74" t="str">
        <x:v>Genetic</x:v>
      </x:c>
      <x:c r="E73" s="74" t="str">
        <x:v>Fail</x:v>
      </x:c>
      <x:c r="F73" s="74" t="str">
        <x:v>Pass</x:v>
      </x:c>
      <x:c r="G73" s="74" t="str">
        <x:v>Fail</x:v>
      </x:c>
      <x:c r="H73" s="75" t="str">
        <x:v>Fail</x:v>
      </x:c>
    </x:row>
    <x:row r="74" ht="39" customHeight="1">
      <x:c r="A74" s="20" t="str">
        <x:v>BL-0229</x:v>
      </x:c>
      <x:c r="B74" s="74" t="str">
        <x:v>biomni_lab_bench_dbqa_366</x:v>
      </x:c>
      <x:c r="C74" s="74" t="str">
        <x:v>Biomni-Eval</x:v>
      </x:c>
      <x:c r="D74" s="74" t="str">
        <x:v>Genetic</x:v>
      </x:c>
      <x:c r="E74" s="74" t="str">
        <x:v>Fail</x:v>
      </x:c>
      <x:c r="F74" s="74" t="str">
        <x:v>Fail</x:v>
      </x:c>
      <x:c r="G74" s="74" t="str">
        <x:v>Fail</x:v>
      </x:c>
      <x:c r="H74" s="75" t="str">
        <x:v>Fail</x:v>
      </x:c>
    </x:row>
    <x:row r="75" ht="39" customHeight="1">
      <x:c r="A75" s="20" t="str">
        <x:v>BL-0230</x:v>
      </x:c>
      <x:c r="B75" s="74" t="str">
        <x:v>biomni_lab_bench_dbqa_264</x:v>
      </x:c>
      <x:c r="C75" s="74" t="str">
        <x:v>Biomni-Eval</x:v>
      </x:c>
      <x:c r="D75" s="74" t="str">
        <x:v>Genetic</x:v>
      </x:c>
      <x:c r="E75" s="74" t="str">
        <x:v>Fail</x:v>
      </x:c>
      <x:c r="F75" s="74" t="str">
        <x:v>Fail</x:v>
      </x:c>
      <x:c r="G75" s="74" t="str">
        <x:v>Fail</x:v>
      </x:c>
      <x:c r="H75" s="75" t="str">
        <x:v>Pass</x:v>
      </x:c>
    </x:row>
    <x:row r="76" ht="39" customHeight="1">
      <x:c r="A76" s="20" t="str">
        <x:v>BL-0232</x:v>
      </x:c>
      <x:c r="B76" s="74" t="str">
        <x:v>biomni_lab_bench_dbqa_328</x:v>
      </x:c>
      <x:c r="C76" s="74" t="str">
        <x:v>Biomni-Eval</x:v>
      </x:c>
      <x:c r="D76" s="74" t="str">
        <x:v>Genetic</x:v>
      </x:c>
      <x:c r="E76" s="74" t="str">
        <x:v>Fail</x:v>
      </x:c>
      <x:c r="F76" s="74" t="str">
        <x:v>Fail</x:v>
      </x:c>
      <x:c r="G76" s="74" t="str">
        <x:v>Fail</x:v>
      </x:c>
      <x:c r="H76" s="75" t="str">
        <x:v>Fail</x:v>
      </x:c>
    </x:row>
    <x:row r="77" ht="39" customHeight="1">
      <x:c r="A77" s="20" t="str">
        <x:v>BL-0438</x:v>
      </x:c>
      <x:c r="B77" s="74" t="str">
        <x:v>labbench_feea1cdc-a206-4628-9346-22cb9b4e79a2</x:v>
      </x:c>
      <x:c r="C77" s="74" t="str">
        <x:v>LAB-Bench</x:v>
      </x:c>
      <x:c r="D77" s="74" t="str">
        <x:v>Genetic</x:v>
      </x:c>
      <x:c r="E77" s="74" t="str">
        <x:v>Fail</x:v>
      </x:c>
      <x:c r="F77" s="74" t="str">
        <x:v>Pass</x:v>
      </x:c>
      <x:c r="G77" s="74" t="str">
        <x:v>Fail</x:v>
      </x:c>
      <x:c r="H77" s="75" t="str">
        <x:v>Fail</x:v>
      </x:c>
    </x:row>
    <x:row r="78" ht="39" customHeight="1">
      <x:c r="A78" s="20" t="str">
        <x:v>BL-0448</x:v>
      </x:c>
      <x:c r="B78" s="74" t="str">
        <x:v>labbench_fa7968cc-5fbd-4ebe-8206-6e31cdb23a9a</x:v>
      </x:c>
      <x:c r="C78" s="74" t="str">
        <x:v>LAB-Bench</x:v>
      </x:c>
      <x:c r="D78" s="74" t="str">
        <x:v>Genetic</x:v>
      </x:c>
      <x:c r="E78" s="74" t="str">
        <x:v>Fail</x:v>
      </x:c>
      <x:c r="F78" s="74" t="str">
        <x:v>Pass</x:v>
      </x:c>
      <x:c r="G78" s="74" t="str">
        <x:v>Fail</x:v>
      </x:c>
      <x:c r="H78" s="75" t="str">
        <x:v>Fail</x:v>
      </x:c>
    </x:row>
    <x:row r="79" ht="39" customHeight="1">
      <x:c r="A79" s="20" t="str">
        <x:v>BL-0453</x:v>
      </x:c>
      <x:c r="B79" s="74" t="str">
        <x:v>labbench_de5390af-6ef8-4f20-83b1-0513e698a23a</x:v>
      </x:c>
      <x:c r="C79" s="74" t="str">
        <x:v>LAB-Bench</x:v>
      </x:c>
      <x:c r="D79" s="74" t="str">
        <x:v>Genetic</x:v>
      </x:c>
      <x:c r="E79" s="74" t="str">
        <x:v>Fail</x:v>
      </x:c>
      <x:c r="F79" s="74" t="str">
        <x:v>Pass</x:v>
      </x:c>
      <x:c r="G79" s="74" t="str">
        <x:v>Fail</x:v>
      </x:c>
      <x:c r="H79" s="75" t="str">
        <x:v>Fail</x:v>
      </x:c>
    </x:row>
    <x:row r="80" ht="39" customHeight="1">
      <x:c r="A80" s="20" t="str">
        <x:v>BL-0458</x:v>
      </x:c>
      <x:c r="B80" s="74" t="str">
        <x:v>labbench_3e834859-cacb-4b36-8cd5-7a326e2ca60c</x:v>
      </x:c>
      <x:c r="C80" s="74" t="str">
        <x:v>LAB-Bench</x:v>
      </x:c>
      <x:c r="D80" s="74" t="str">
        <x:v>Genetic</x:v>
      </x:c>
      <x:c r="E80" s="74" t="str">
        <x:v>Fail</x:v>
      </x:c>
      <x:c r="F80" s="74" t="str">
        <x:v>Pass</x:v>
      </x:c>
      <x:c r="G80" s="74" t="str">
        <x:v>Fail</x:v>
      </x:c>
      <x:c r="H80" s="75" t="str">
        <x:v>Fail</x:v>
      </x:c>
    </x:row>
    <x:row r="81" ht="39" customHeight="1">
      <x:c r="A81" s="20" t="str">
        <x:v>BL-0478</x:v>
      </x:c>
      <x:c r="B81" s="74" t="str">
        <x:v>labbench_7d5070a8-9868-424e-b7ed-be0eda44dee0</x:v>
      </x:c>
      <x:c r="C81" s="74" t="str">
        <x:v>LAB-Bench</x:v>
      </x:c>
      <x:c r="D81" s="74" t="str">
        <x:v>Genetic</x:v>
      </x:c>
      <x:c r="E81" s="74" t="str">
        <x:v>Pass</x:v>
      </x:c>
      <x:c r="F81" s="74" t="str">
        <x:v>Pass</x:v>
      </x:c>
      <x:c r="G81" s="74" t="str">
        <x:v>Fail</x:v>
      </x:c>
      <x:c r="H81" s="75" t="str">
        <x:v>Fail</x:v>
      </x:c>
    </x:row>
    <x:row r="82" ht="39" customHeight="1">
      <x:c r="A82" s="20" t="str">
        <x:v>BL-0483</x:v>
      </x:c>
      <x:c r="B82" s="74" t="str">
        <x:v>labbench_a4b43b64-ed28-4220-b5af-8f65f6bb9f40</x:v>
      </x:c>
      <x:c r="C82" s="74" t="str">
        <x:v>LAB-Bench</x:v>
      </x:c>
      <x:c r="D82" s="74" t="str">
        <x:v>Genetic</x:v>
      </x:c>
      <x:c r="E82" s="74" t="str">
        <x:v>Fail</x:v>
      </x:c>
      <x:c r="F82" s="74" t="str">
        <x:v>Pass</x:v>
      </x:c>
      <x:c r="G82" s="74" t="str">
        <x:v>Fail</x:v>
      </x:c>
      <x:c r="H82" s="75" t="str">
        <x:v>Fail</x:v>
      </x:c>
    </x:row>
    <x:row r="83" ht="39" customHeight="1">
      <x:c r="A83" s="20" t="str">
        <x:v>BL-0205</x:v>
      </x:c>
      <x:c r="B83" s="74" t="str">
        <x:v>biomni_screen_gene_retrieval_212</x:v>
      </x:c>
      <x:c r="C83" s="74" t="str">
        <x:v>Biomni-Eval</x:v>
      </x:c>
      <x:c r="D83" s="74" t="str">
        <x:v>Genetic</x:v>
      </x:c>
      <x:c r="E83" s="74" t="str">
        <x:v>Pass</x:v>
      </x:c>
      <x:c r="F83" s="74" t="str">
        <x:v>Pass</x:v>
      </x:c>
      <x:c r="G83" s="74" t="str">
        <x:v>Fail</x:v>
      </x:c>
      <x:c r="H83" s="75" t="str">
        <x:v>Pass</x:v>
      </x:c>
    </x:row>
    <x:row r="84" ht="39" customHeight="1">
      <x:c r="A84" s="20" t="str">
        <x:v>BL-0208</x:v>
      </x:c>
      <x:c r="B84" s="74" t="str">
        <x:v>biomni_screen_gene_retrieval_80</x:v>
      </x:c>
      <x:c r="C84" s="74" t="str">
        <x:v>Biomni-Eval</x:v>
      </x:c>
      <x:c r="D84" s="74" t="str">
        <x:v>Genetic</x:v>
      </x:c>
      <x:c r="E84" s="74" t="str">
        <x:v>Fail</x:v>
      </x:c>
      <x:c r="F84" s="74" t="str">
        <x:v>Fail</x:v>
      </x:c>
      <x:c r="G84" s="74" t="str">
        <x:v>Fail</x:v>
      </x:c>
      <x:c r="H84" s="75" t="str">
        <x:v>Fail</x:v>
      </x:c>
    </x:row>
    <x:row r="85" ht="39" customHeight="1">
      <x:c r="A85" s="20" t="str">
        <x:v>BL-0433</x:v>
      </x:c>
      <x:c r="B85" s="74" t="str">
        <x:v>labbench_39c985ce-70e8-48e4-bd76-744cd07cb56a</x:v>
      </x:c>
      <x:c r="C85" s="74" t="str">
        <x:v>LAB-Bench</x:v>
      </x:c>
      <x:c r="D85" s="74" t="str">
        <x:v>LitQA</x:v>
      </x:c>
      <x:c r="E85" s="74" t="str">
        <x:v>Fail</x:v>
      </x:c>
      <x:c r="F85" s="74" t="str">
        <x:v>Fail</x:v>
      </x:c>
      <x:c r="G85" s="74" t="str">
        <x:v>Fail</x:v>
      </x:c>
      <x:c r="H85" s="75" t="str">
        <x:v>Fail</x:v>
      </x:c>
    </x:row>
    <x:row r="86" ht="39" customHeight="1">
      <x:c r="A86" s="20" t="str">
        <x:v>BL-0435</x:v>
      </x:c>
      <x:c r="B86" s="74" t="str">
        <x:v>labbench_76bcaeeb-93bd-4951-99b9-cf4613de1a37</x:v>
      </x:c>
      <x:c r="C86" s="74" t="str">
        <x:v>LAB-Bench</x:v>
      </x:c>
      <x:c r="D86" s="74" t="str">
        <x:v>LitQA</x:v>
      </x:c>
      <x:c r="E86" s="74" t="str">
        <x:v>Fail</x:v>
      </x:c>
      <x:c r="F86" s="74" t="str">
        <x:v>Fail</x:v>
      </x:c>
      <x:c r="G86" s="74" t="str">
        <x:v>Fail</x:v>
      </x:c>
      <x:c r="H86" s="75" t="str">
        <x:v>Fail</x:v>
      </x:c>
    </x:row>
    <x:row r="87" ht="39" customHeight="1">
      <x:c r="A87" s="20" t="str">
        <x:v>BL-0488</x:v>
      </x:c>
      <x:c r="B87" s="74" t="str">
        <x:v>labbench_1780adbf-0d7c-4952-be10-a3a8ca8be109</x:v>
      </x:c>
      <x:c r="C87" s="74" t="str">
        <x:v>LAB-Bench</x:v>
      </x:c>
      <x:c r="D87" s="74" t="str">
        <x:v>FigQA</x:v>
      </x:c>
      <x:c r="E87" s="74" t="str">
        <x:v>Fail</x:v>
      </x:c>
      <x:c r="F87" s="74" t="str">
        <x:v>Fail</x:v>
      </x:c>
      <x:c r="G87" s="74" t="str">
        <x:v>Fail</x:v>
      </x:c>
      <x:c r="H87" s="75" t="str">
        <x:v>Fail</x:v>
      </x:c>
    </x:row>
    <x:row r="88" ht="39" customHeight="1">
      <x:c r="A88" s="20" t="str">
        <x:v>BL-0491</x:v>
      </x:c>
      <x:c r="B88" s="74" t="str">
        <x:v>labbench_8e16e8ab-d83f-426c-b355-f3ed79eeb575</x:v>
      </x:c>
      <x:c r="C88" s="74" t="str">
        <x:v>LAB-Bench</x:v>
      </x:c>
      <x:c r="D88" s="74" t="str">
        <x:v>FigQA</x:v>
      </x:c>
      <x:c r="E88" s="74" t="str">
        <x:v>Fail</x:v>
      </x:c>
      <x:c r="F88" s="74" t="str">
        <x:v>Pass</x:v>
      </x:c>
      <x:c r="G88" s="74" t="str">
        <x:v>Fail</x:v>
      </x:c>
      <x:c r="H88" s="75" t="str">
        <x:v>Fail</x:v>
      </x:c>
    </x:row>
    <x:row r="89" ht="39" customHeight="1">
      <x:c r="A89" s="20" t="str">
        <x:v>BL-0494</x:v>
      </x:c>
      <x:c r="B89" s="74" t="str">
        <x:v>labbench_bd083a6c-b377-4570-aee8-e69fcedfcc50</x:v>
      </x:c>
      <x:c r="C89" s="74" t="str">
        <x:v>LAB-Bench</x:v>
      </x:c>
      <x:c r="D89" s="74" t="str">
        <x:v>TableQA</x:v>
      </x:c>
      <x:c r="E89" s="74" t="str">
        <x:v>Fail</x:v>
      </x:c>
      <x:c r="F89" s="74" t="str">
        <x:v>Fail</x:v>
      </x:c>
      <x:c r="G89" s="74" t="str">
        <x:v>Fail</x:v>
      </x:c>
      <x:c r="H89" s="75" t="str">
        <x:v>Pass</x:v>
      </x:c>
    </x:row>
    <x:row r="90" ht="39" customHeight="1">
      <x:c r="A90" s="20" t="str">
        <x:v>BL-0495</x:v>
      </x:c>
      <x:c r="B90" s="74" t="str">
        <x:v>labbench_7db1cd7e-ed76-43e2-bb9d-7d7a981f1e7a</x:v>
      </x:c>
      <x:c r="C90" s="74" t="str">
        <x:v>LAB-Bench</x:v>
      </x:c>
      <x:c r="D90" s="74" t="str">
        <x:v>TableQA</x:v>
      </x:c>
      <x:c r="E90" s="74" t="str">
        <x:v>Fail</x:v>
      </x:c>
      <x:c r="F90" s="74" t="str">
        <x:v>Pass</x:v>
      </x:c>
      <x:c r="G90" s="74" t="str">
        <x:v>Fail</x:v>
      </x:c>
      <x:c r="H90" s="75" t="str">
        <x:v>Pass</x:v>
      </x:c>
    </x:row>
    <x:row r="91" ht="37.5" customHeight="1">
      <x:c r="A91" s="20" t="str">
        <x:v>BL-0562</x:v>
      </x:c>
      <x:c r="B91" s="74" t="str">
        <x:v>labbench_8920c7b7-710f-44f0-8cd1-d360bba41db4</x:v>
      </x:c>
      <x:c r="C91" s="74" t="str">
        <x:v>LAB-Bench</x:v>
      </x:c>
      <x:c r="D91" s="74" t="str">
        <x:v>ProtocolQA</x:v>
      </x:c>
      <x:c r="E91" s="74" t="str">
        <x:v>Pass</x:v>
      </x:c>
      <x:c r="F91" s="74" t="str">
        <x:v>Pass</x:v>
      </x:c>
      <x:c r="G91" s="74" t="str">
        <x:v>Pass</x:v>
      </x:c>
      <x:c r="H91" s="75" t="str">
        <x:v>Pass</x:v>
      </x:c>
    </x:row>
    <x:row r="92" ht="39" customHeight="1">
      <x:c r="A92" s="20" t="str">
        <x:v>BL-0566</x:v>
      </x:c>
      <x:c r="B92" s="74" t="str">
        <x:v>labbench_b6b4077d-a0db-4d26-9b3c-57fc469ad431</x:v>
      </x:c>
      <x:c r="C92" s="74" t="str">
        <x:v>LAB-Bench</x:v>
      </x:c>
      <x:c r="D92" s="74" t="str">
        <x:v>SuppQA</x:v>
      </x:c>
      <x:c r="E92" s="74" t="str">
        <x:v>Pass</x:v>
      </x:c>
      <x:c r="F92" s="74" t="str">
        <x:v>Fail</x:v>
      </x:c>
      <x:c r="G92" s="74" t="str">
        <x:v>Fail</x:v>
      </x:c>
      <x:c r="H92" s="75" t="str">
        <x:v>Fail</x:v>
      </x:c>
    </x:row>
    <x:row r="93" ht="39" customHeight="1">
      <x:c r="A93" s="20" t="str">
        <x:v>BL-0199</x:v>
      </x:c>
      <x:c r="B93" s="74" t="str">
        <x:v>biomni_gwas_variant_prioritization_63</x:v>
      </x:c>
      <x:c r="C93" s="74" t="str">
        <x:v>Biomni-Eval</x:v>
      </x:c>
      <x:c r="D93" s="74" t="str">
        <x:v>Genetic</x:v>
      </x:c>
      <x:c r="E93" s="74" t="str">
        <x:v>Pass</x:v>
      </x:c>
      <x:c r="F93" s="74" t="str">
        <x:v>Pass</x:v>
      </x:c>
      <x:c r="G93" s="74" t="str">
        <x:v>Fail</x:v>
      </x:c>
      <x:c r="H93" s="75" t="str">
        <x:v>Fail</x:v>
      </x:c>
    </x:row>
    <x:row r="94" ht="39" customHeight="1">
      <x:c r="A94" s="20" t="str">
        <x:v>BL-0203</x:v>
      </x:c>
      <x:c r="B94" s="74" t="str">
        <x:v>biomni_gwas_variant_prioritization_188</x:v>
      </x:c>
      <x:c r="C94" s="74" t="str">
        <x:v>Biomni-Eval</x:v>
      </x:c>
      <x:c r="D94" s="74" t="str">
        <x:v>Genetic</x:v>
      </x:c>
      <x:c r="E94" s="74" t="str">
        <x:v>Fail</x:v>
      </x:c>
      <x:c r="F94" s="74" t="str">
        <x:v>Pass</x:v>
      </x:c>
      <x:c r="G94" s="74" t="str">
        <x:v>Fail</x:v>
      </x:c>
      <x:c r="H94" s="75" t="str">
        <x:v>Fail</x:v>
      </x:c>
    </x:row>
    <x:row r="95" ht="39" customHeight="1">
      <x:c r="A95" s="20" t="str">
        <x:v>BL-0214</x:v>
      </x:c>
      <x:c r="B95" s="74" t="str">
        <x:v>biomni_patient_gene_detection_201</x:v>
      </x:c>
      <x:c r="C95" s="74" t="str">
        <x:v>Biomni-Eval</x:v>
      </x:c>
      <x:c r="D95" s="74" t="str">
        <x:v>Genetic</x:v>
      </x:c>
      <x:c r="E95" s="74" t="str">
        <x:v>Fail</x:v>
      </x:c>
      <x:c r="F95" s="74" t="str">
        <x:v>Fail</x:v>
      </x:c>
      <x:c r="G95" s="74" t="str">
        <x:v>Fail</x:v>
      </x:c>
      <x:c r="H95" s="75" t="str">
        <x:v>Fail</x:v>
      </x:c>
    </x:row>
    <x:row r="96" ht="39" customHeight="1">
      <x:c r="A96" s="20" t="str">
        <x:v>BL-0217</x:v>
      </x:c>
      <x:c r="B96" s="74" t="str">
        <x:v>biomni_patient_gene_detection_34</x:v>
      </x:c>
      <x:c r="C96" s="74" t="str">
        <x:v>Biomni-Eval</x:v>
      </x:c>
      <x:c r="D96" s="74" t="str">
        <x:v>Genetic</x:v>
      </x:c>
      <x:c r="E96" s="74" t="str">
        <x:v>Fail</x:v>
      </x:c>
      <x:c r="F96" s="74" t="str">
        <x:v>Fail</x:v>
      </x:c>
      <x:c r="G96" s="74" t="str">
        <x:v>Fail</x:v>
      </x:c>
      <x:c r="H96" s="75" t="str">
        <x:v>Fail</x:v>
      </x:c>
    </x:row>
    <x:row r="97" ht="39" customHeight="1">
      <x:c r="A97" s="20" t="str">
        <x:v>BL-0222</x:v>
      </x:c>
      <x:c r="B97" s="74" t="str">
        <x:v>biomni_gwas_causal_gene_pharmaprojects_821</x:v>
      </x:c>
      <x:c r="C97" s="74" t="str">
        <x:v>Biomni-Eval</x:v>
      </x:c>
      <x:c r="D97" s="74" t="str">
        <x:v>Genetic</x:v>
      </x:c>
      <x:c r="E97" s="74" t="str">
        <x:v>Fail</x:v>
      </x:c>
      <x:c r="F97" s="74" t="str">
        <x:v>Pass</x:v>
      </x:c>
      <x:c r="G97" s="74" t="str">
        <x:v>Fail</x:v>
      </x:c>
      <x:c r="H97" s="75" t="str">
        <x:v>Pass</x:v>
      </x:c>
    </x:row>
    <x:row r="98" ht="39" customHeight="1">
      <x:c r="A98" s="20" t="str">
        <x:v>BL-0224</x:v>
      </x:c>
      <x:c r="B98" s="74" t="str">
        <x:v>biomni_rare_disease_diagnosis_132</x:v>
      </x:c>
      <x:c r="C98" s="74" t="str">
        <x:v>Biomni-Eval</x:v>
      </x:c>
      <x:c r="D98" s="74" t="str">
        <x:v>Genetic</x:v>
      </x:c>
      <x:c r="E98" s="74" t="str">
        <x:v>Fail</x:v>
      </x:c>
      <x:c r="F98" s="74" t="str">
        <x:v>Fail</x:v>
      </x:c>
      <x:c r="G98" s="74" t="str">
        <x:v>Fail</x:v>
      </x:c>
      <x:c r="H98" s="75" t="str">
        <x:v>Fail</x:v>
      </x:c>
    </x:row>
    <x:row r="99" ht="39" customHeight="1">
      <x:c r="A99" s="20" t="str">
        <x:v>BL-0226</x:v>
      </x:c>
      <x:c r="B99" s="74" t="str">
        <x:v>biomni_rare_disease_diagnosis_121</x:v>
      </x:c>
      <x:c r="C99" s="74" t="str">
        <x:v>Biomni-Eval</x:v>
      </x:c>
      <x:c r="D99" s="74" t="str">
        <x:v>Genetic</x:v>
      </x:c>
      <x:c r="E99" s="74" t="str">
        <x:v>Fail</x:v>
      </x:c>
      <x:c r="F99" s="74" t="str">
        <x:v>Pass</x:v>
      </x:c>
      <x:c r="G99" s="74" t="str">
        <x:v>Fail</x:v>
      </x:c>
      <x:c r="H99" s="75" t="str">
        <x:v>Fail</x:v>
      </x:c>
    </x:row>
    <x:row r="100" ht="39" customHeight="1">
      <x:c r="A100" s="20" t="str">
        <x:v>BL-0233</x:v>
      </x:c>
      <x:c r="B100" s="74" t="str">
        <x:v>biomni_gwas_causal_gene_opentargets_619</x:v>
      </x:c>
      <x:c r="C100" s="74" t="str">
        <x:v>Biomni-Eval</x:v>
      </x:c>
      <x:c r="D100" s="74" t="str">
        <x:v>Genetic</x:v>
      </x:c>
      <x:c r="E100" s="74" t="str">
        <x:v>Pass</x:v>
      </x:c>
      <x:c r="F100" s="74" t="str">
        <x:v>Pass</x:v>
      </x:c>
      <x:c r="G100" s="74" t="str">
        <x:v>Fail</x:v>
      </x:c>
      <x:c r="H100" s="75" t="str">
        <x:v>Pass</x:v>
      </x:c>
    </x:row>
    <x:row r="101" ht="39" customHeight="1">
      <x:c r="A101" s="20" t="str">
        <x:v>BL-0235</x:v>
      </x:c>
      <x:c r="B101" s="74" t="str">
        <x:v>biomni_gwas_causal_gene_opentargets_761</x:v>
      </x:c>
      <x:c r="C101" s="74" t="str">
        <x:v>Biomni-Eval</x:v>
      </x:c>
      <x:c r="D101" s="74" t="str">
        <x:v>Genetic</x:v>
      </x:c>
      <x:c r="E101" s="74" t="str">
        <x:v>Fail</x:v>
      </x:c>
      <x:c r="F101" s="74" t="str">
        <x:v>Fail</x:v>
      </x:c>
      <x:c r="G101" s="74" t="str">
        <x:v>Fail</x:v>
      </x:c>
      <x:c r="H101" s="75" t="str">
        <x:v>Fail</x:v>
      </x:c>
    </x:row>
    <x:row r="102" ht="39" customHeight="1">
      <x:c r="A102" s="24" t="str">
        <x:v>BL-0238</x:v>
      </x:c>
      <x:c r="B102" s="76" t="str">
        <x:v>biomni_gwas_causal_gene_gwas_catalog_240</x:v>
      </x:c>
      <x:c r="C102" s="76" t="str">
        <x:v>Biomni-Eval</x:v>
      </x:c>
      <x:c r="D102" s="76" t="str">
        <x:v>Genetic</x:v>
      </x:c>
      <x:c r="E102" s="76" t="str">
        <x:v>Fail</x:v>
      </x:c>
      <x:c r="F102" s="76" t="str">
        <x:v>Fail</x:v>
      </x:c>
      <x:c r="G102" s="76" t="str">
        <x:v>Fail</x:v>
      </x:c>
      <x:c r="H102" s="77" t="str">
        <x:v>Fail</x:v>
      </x:c>
    </x:row>
  </x:sheetData>
  <x:mergeCells>
    <x:mergeCell ref="A1:H1"/>
  </x:mergeCells>
  <x:dataValidations count="1">
    <x:dataValidation type="list" sqref="E3:H102">
      <x:formula1>"Pass,Fail"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9e5f2255cc4a81"/>
  </x:tableParts>
</x:worksheet>
</file>