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0c617da5949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 performance" sheetId="1" r:id="R6858c61671754532"/>
    <x:sheet xmlns:r="http://schemas.openxmlformats.org/officeDocument/2006/relationships" name="Task outcomes" sheetId="2" r:id="Rfe5e92b6e117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6">
    <x:font>
      <x:sz val="11"/>
      <x:name val="Carlito"/>
    </x:font>
    <x:font>
      <x:sz val="11"/>
      <x:color rgb="FF161616"/>
      <x:name val="Arial"/>
    </x:font>
    <x:font>
      <x:b/>
      <x:sz val="14"/>
      <x:color rgb="FF161616"/>
      <x:name val="Arial"/>
    </x:font>
    <x:font>
      <x:b/>
      <x:sz val="11"/>
      <x:color rgb="FF161616"/>
      <x:name val="Arial"/>
    </x:font>
    <x:font>
      <x:sz val="11"/>
      <x:color rgb="FF161616"/>
      <x:name val="Arial"/>
    </x:font>
    <x:font>
      <x:i/>
      <x:sz val="11"/>
      <x:color rgb="FF4444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1">
    <x:border/>
    <x:border>
      <x:right style="thin">
        <x:color rgb="FFCCCCCC"/>
      </x:right>
      <x:top style="medium">
        <x:color rgb="FF222222"/>
      </x:top>
    </x:border>
    <x:border>
      <x:left style="thin">
        <x:color rgb="FFCCCCCC"/>
      </x:left>
      <x:right style="thin">
        <x:color rgb="FFCCCCCC"/>
      </x:right>
      <x:top style="medium">
        <x:color rgb="FF222222"/>
      </x:top>
    </x:border>
    <x:border>
      <x:left style="thin">
        <x:color rgb="FFCCCCCC"/>
      </x:left>
      <x:top style="medium">
        <x:color rgb="FF222222"/>
      </x:top>
    </x:border>
    <x:border>
      <x:right style="thin">
        <x:color rgb="FFCCCCCC"/>
      </x:right>
      <x:bottom style="thin">
        <x:color rgb="FF555555"/>
      </x:bottom>
    </x:border>
    <x:border>
      <x:left style="thin">
        <x:color rgb="FFCCCCCC"/>
      </x:left>
      <x:right style="thin">
        <x:color rgb="FFCCCCCC"/>
      </x:right>
      <x:bottom style="thin">
        <x:color rgb="FF555555"/>
      </x:bottom>
    </x:border>
    <x:border>
      <x:left style="thin">
        <x:color rgb="FFCCCCCC"/>
      </x:left>
      <x:bottom style="thin">
        <x:color rgb="FF555555"/>
      </x:bottom>
    </x:border>
    <x:border>
      <x:right style="thin">
        <x:color rgb="FFE1E1E1"/>
      </x:right>
      <x:bottom style="thin">
        <x:color rgb="FFB8B8B8"/>
      </x:bottom>
    </x:border>
    <x:border>
      <x:left style="thin">
        <x:color rgb="FFE1E1E1"/>
      </x:left>
      <x:right style="thin">
        <x:color rgb="FFE1E1E1"/>
      </x:right>
      <x:bottom style="thin">
        <x:color rgb="FFB8B8B8"/>
      </x:bottom>
    </x:border>
    <x:border>
      <x:left style="thin">
        <x:color rgb="FFE1E1E1"/>
      </x:left>
      <x:bottom style="thin">
        <x:color rgb="FFB8B8B8"/>
      </x:bottom>
    </x:border>
    <x:border>
      <x:right style="thin">
        <x:color rgb="FFE1E1E1"/>
      </x:right>
      <x:top style="thin">
        <x:color rgb="FFB8B8B8"/>
      </x:top>
      <x:bottom style="thin">
        <x:color rgb="FFB8B8B8"/>
      </x:bottom>
    </x:border>
    <x:border>
      <x:left style="thin">
        <x:color rgb="FFE1E1E1"/>
      </x:left>
      <x:right style="thin">
        <x:color rgb="FFE1E1E1"/>
      </x:right>
      <x:top style="thin">
        <x:color rgb="FFB8B8B8"/>
      </x:top>
      <x:bottom style="thin">
        <x:color rgb="FFB8B8B8"/>
      </x:bottom>
    </x:border>
    <x:border>
      <x:left style="thin">
        <x:color rgb="FFE1E1E1"/>
      </x:left>
      <x:top style="thin">
        <x:color rgb="FFB8B8B8"/>
      </x:top>
      <x:bottom style="thin">
        <x:color rgb="FFB8B8B8"/>
      </x:bottom>
    </x:border>
    <x:border>
      <x:right style="thin">
        <x:color rgb="FFE1E1E1"/>
      </x:right>
      <x:top style="thin">
        <x:color rgb="FFB8B8B8"/>
      </x:top>
      <x:bottom style="medium">
        <x:color rgb="FF333333"/>
      </x:bottom>
    </x:border>
    <x:border>
      <x:left style="thin">
        <x:color rgb="FFE1E1E1"/>
      </x:left>
      <x:right style="thin">
        <x:color rgb="FFE1E1E1"/>
      </x:right>
      <x:top style="thin">
        <x:color rgb="FFB8B8B8"/>
      </x:top>
      <x:bottom style="medium">
        <x:color rgb="FF333333"/>
      </x:bottom>
    </x:border>
    <x:border>
      <x:left style="thin">
        <x:color rgb="FFE1E1E1"/>
      </x:left>
      <x:top style="thin">
        <x:color rgb="FFB8B8B8"/>
      </x:top>
      <x:bottom style="medium">
        <x:color rgb="FF333333"/>
      </x:bottom>
    </x:border>
    <x:border>
      <x:right style="thin">
        <x:color rgb="FFE1E1E1"/>
      </x:right>
      <x:top style="medium">
        <x:color rgb="FF333333"/>
      </x:top>
      <x:bottom style="thin">
        <x:color rgb="FFB8B8B8"/>
      </x:bottom>
    </x:border>
    <x:border>
      <x:left style="thin">
        <x:color rgb="FFE1E1E1"/>
      </x:left>
      <x:right style="thin">
        <x:color rgb="FFE1E1E1"/>
      </x:right>
      <x:top style="medium">
        <x:color rgb="FF333333"/>
      </x:top>
      <x:bottom style="thin">
        <x:color rgb="FFB8B8B8"/>
      </x:bottom>
    </x:border>
    <x:border>
      <x:right style="thin">
        <x:color rgb="FFCCCCCC"/>
      </x:right>
      <x:top style="medium">
        <x:color rgb="FF222222"/>
      </x:top>
      <x:bottom style="thin">
        <x:color rgb="FF555555"/>
      </x:bottom>
    </x:border>
    <x:border>
      <x:left style="thin">
        <x:color rgb="FFCCCCCC"/>
      </x:left>
      <x:right style="thin">
        <x:color rgb="FFCCCCCC"/>
      </x:right>
      <x:top style="medium">
        <x:color rgb="FF222222"/>
      </x:top>
      <x:bottom style="thin">
        <x:color rgb="FF555555"/>
      </x:bottom>
    </x:border>
    <x:border>
      <x:left style="thin">
        <x:color rgb="FFCCCCCC"/>
      </x:left>
      <x:top style="medium">
        <x:color rgb="FF222222"/>
      </x:top>
      <x:bottom style="thin">
        <x:color rgb="FF555555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3" fillId="2" borderId="5" xfId="0" applyNumberFormat="1" applyFont="1" applyFill="1" applyBorder="1" applyAlignment="1">
      <x:alignment horizontal="left" vertical="center" wrapText="1"/>
    </x:xf>
    <x:xf numFmtId="0" fontId="3" fillId="2" borderId="6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1" fontId="1" fillId="2" borderId="0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201" fontId="1" fillId="2" borderId="8" xfId="0" applyNumberFormat="1" applyFont="1" applyFill="1" applyBorder="1" applyAlignment="1">
      <x:alignment horizontal="left" vertical="center" wrapText="1"/>
    </x:xf>
    <x:xf numFmtId="200" fontId="1" fillId="2" borderId="8" xfId="0" applyNumberFormat="1" applyFont="1" applyFill="1" applyBorder="1" applyAlignment="1">
      <x:alignment horizontal="left" vertical="center" wrapText="1"/>
    </x:xf>
    <x:xf numFmtId="200" fontId="1" fillId="2" borderId="9" xfId="0" applyNumberFormat="1" applyFont="1" applyFill="1" applyBorder="1" applyAlignment="1">
      <x:alignment horizontal="left" vertical="center" wrapText="1"/>
    </x:xf>
    <x:xf numFmtId="0" fontId="1" fillId="2" borderId="10" xfId="0" applyNumberFormat="1" applyFont="1" applyFill="1" applyBorder="1" applyAlignment="1">
      <x:alignment horizontal="left" vertical="center" wrapText="1"/>
    </x:xf>
    <x:xf numFmtId="201" fontId="1" fillId="2" borderId="11" xfId="0" applyNumberFormat="1" applyFont="1" applyFill="1" applyBorder="1" applyAlignment="1">
      <x:alignment horizontal="left" vertical="center" wrapText="1"/>
    </x:xf>
    <x:xf numFmtId="200" fontId="1" fillId="2" borderId="11" xfId="0" applyNumberFormat="1" applyFont="1" applyFill="1" applyBorder="1" applyAlignment="1">
      <x:alignment horizontal="left" vertical="center" wrapText="1"/>
    </x:xf>
    <x:xf numFmtId="200" fontId="1" fillId="2" borderId="12" xfId="0" applyNumberFormat="1" applyFont="1" applyFill="1" applyBorder="1" applyAlignment="1">
      <x:alignment horizontal="left" vertical="center" wrapText="1"/>
    </x:xf>
    <x:xf numFmtId="0" fontId="1" fillId="2" borderId="13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200" fontId="1" fillId="2" borderId="14" xfId="0" applyNumberFormat="1" applyFont="1" applyFill="1" applyBorder="1" applyAlignment="1">
      <x:alignment horizontal="left" vertical="center" wrapText="1"/>
    </x:xf>
    <x:xf numFmtId="200" fontId="1" fillId="2" borderId="15" xfId="0" applyNumberFormat="1" applyFont="1" applyFill="1" applyBorder="1" applyAlignment="1">
      <x:alignment horizontal="left" vertical="center" wrapText="1"/>
    </x:xf>
    <x:xf numFmtId="201" fontId="1" fillId="2" borderId="8" xfId="0" applyNumberFormat="1" applyFont="1" applyFill="1" applyBorder="1" applyAlignment="1">
      <x:alignment horizontal="right" vertical="center" wrapText="1"/>
    </x:xf>
    <x:xf numFmtId="200" fontId="1" fillId="2" borderId="8" xfId="0" applyNumberFormat="1" applyFont="1" applyFill="1" applyBorder="1" applyAlignment="1">
      <x:alignment horizontal="right" vertical="center" wrapText="1"/>
    </x:xf>
    <x:xf numFmtId="200" fontId="1" fillId="2" borderId="9" xfId="0" applyNumberFormat="1" applyFont="1" applyFill="1" applyBorder="1" applyAlignment="1">
      <x:alignment horizontal="right" vertical="center" wrapText="1"/>
    </x:xf>
    <x:xf numFmtId="201" fontId="1" fillId="2" borderId="11" xfId="0" applyNumberFormat="1" applyFont="1" applyFill="1" applyBorder="1" applyAlignment="1">
      <x:alignment horizontal="right" vertical="center" wrapText="1"/>
    </x:xf>
    <x:xf numFmtId="200" fontId="1" fillId="2" borderId="11" xfId="0" applyNumberFormat="1" applyFont="1" applyFill="1" applyBorder="1" applyAlignment="1">
      <x:alignment horizontal="right" vertical="center" wrapText="1"/>
    </x:xf>
    <x:xf numFmtId="200" fontId="1" fillId="2" borderId="12" xfId="0" applyNumberFormat="1" applyFont="1" applyFill="1" applyBorder="1" applyAlignment="1">
      <x:alignment horizontal="right" vertical="center" wrapText="1"/>
    </x:xf>
    <x:xf numFmtId="0" fontId="1" fillId="2" borderId="14" xfId="0" applyNumberFormat="1" applyFont="1" applyFill="1" applyBorder="1" applyAlignment="1">
      <x:alignment horizontal="right" vertical="center" wrapText="1"/>
    </x:xf>
    <x:xf numFmtId="200" fontId="1" fillId="2" borderId="14" xfId="0" applyNumberFormat="1" applyFont="1" applyFill="1" applyBorder="1" applyAlignment="1">
      <x:alignment horizontal="right" vertical="center" wrapText="1"/>
    </x:xf>
    <x:xf numFmtId="200" fontId="1" fillId="2" borderId="15" xfId="0" applyNumberFormat="1" applyFont="1" applyFill="1" applyBorder="1" applyAlignment="1">
      <x:alignment horizontal="right" vertical="center" wrapText="1"/>
    </x:xf>
    <x:xf numFmtId="0" fontId="3" fillId="2" borderId="10" xfId="0" applyNumberFormat="1" applyFont="1" applyFill="1" applyBorder="1" applyAlignment="1">
      <x:alignment horizontal="left" vertical="center" wrapText="1"/>
    </x:xf>
    <x:xf numFmtId="201" fontId="3" fillId="2" borderId="11" xfId="0" applyNumberFormat="1" applyFont="1" applyFill="1" applyBorder="1" applyAlignment="1">
      <x:alignment horizontal="right" vertical="center" wrapText="1"/>
    </x:xf>
    <x:xf numFmtId="200" fontId="3" fillId="2" borderId="11" xfId="0" applyNumberFormat="1" applyFont="1" applyFill="1" applyBorder="1" applyAlignment="1">
      <x:alignment horizontal="right" vertical="center" wrapText="1"/>
    </x:xf>
    <x:xf numFmtId="200" fontId="3" fillId="2" borderId="12" xfId="0" applyNumberFormat="1" applyFont="1" applyFill="1" applyBorder="1" applyAlignment="1">
      <x:alignment horizontal="right" vertical="center" wrapText="1"/>
    </x:xf>
    <x:xf numFmtId="0" fontId="3" fillId="2" borderId="13" xfId="0" applyNumberFormat="1" applyFont="1" applyFill="1" applyBorder="1" applyAlignment="1">
      <x:alignment horizontal="left" vertical="center" wrapText="1"/>
    </x:xf>
    <x:xf numFmtId="0" fontId="3" fillId="2" borderId="14" xfId="0" applyNumberFormat="1" applyFont="1" applyFill="1" applyBorder="1" applyAlignment="1">
      <x:alignment horizontal="right" vertical="center" wrapText="1"/>
    </x:xf>
    <x:xf numFmtId="200" fontId="3" fillId="2" borderId="14" xfId="0" applyNumberFormat="1" applyFont="1" applyFill="1" applyBorder="1" applyAlignment="1">
      <x:alignment horizontal="right" vertical="center" wrapText="1"/>
    </x:xf>
    <x:xf numFmtId="200" fontId="3" fillId="2" borderId="15" xfId="0" applyNumberFormat="1" applyFont="1" applyFill="1" applyBorder="1" applyAlignment="1">
      <x:alignment horizontal="right" vertical="center" wrapText="1"/>
    </x:xf>
    <x:xf numFmtId="0" fontId="3" fillId="2" borderId="16" xfId="0" applyNumberFormat="1" applyFont="1" applyFill="1" applyBorder="1" applyAlignment="1">
      <x:alignment horizontal="left" vertical="center" wrapText="1"/>
    </x:xf>
    <x:xf numFmtId="201" fontId="3" fillId="2" borderId="17" xfId="0" applyNumberFormat="1" applyFont="1" applyFill="1" applyBorder="1" applyAlignment="1">
      <x:alignment horizontal="right" vertical="center" wrapText="1"/>
    </x:xf>
    <x:xf numFmtId="200" fontId="3" fillId="2" borderId="17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3" fillId="2" borderId="18" xfId="0" applyNumberFormat="1" applyFont="1" applyFill="1" applyBorder="1" applyAlignment="1">
      <x:alignment horizontal="left" vertical="center" wrapText="1"/>
    </x:xf>
    <x:xf numFmtId="0" fontId="3" fillId="2" borderId="19" xfId="0" applyNumberFormat="1" applyFont="1" applyFill="1" applyBorder="1" applyAlignment="1">
      <x:alignment horizontal="left" vertical="center" wrapText="1"/>
    </x:xf>
    <x:xf numFmtId="0" fontId="3" fillId="2" borderId="20" xfId="0" applyNumberFormat="1" applyFont="1" applyFill="1" applyBorder="1" applyAlignment="1">
      <x:alignment horizontal="left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1" fillId="2" borderId="11" xfId="0" applyNumberFormat="1" applyFont="1" applyFill="1" applyBorder="1" applyAlignment="1">
      <x:alignment horizontal="left" vertical="center" wrapText="1"/>
    </x:xf>
    <x:xf numFmtId="0" fontId="1" fillId="2" borderId="12" xfId="0" applyNumberFormat="1" applyFont="1" applyFill="1" applyBorder="1" applyAlignment="1">
      <x:alignment horizontal="left" vertical="center" wrapText="1"/>
    </x:xf>
    <x:xf numFmtId="0" fontId="1" fillId="2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a68b336e440fa" /><Relationship Type="http://schemas.openxmlformats.org/officeDocument/2006/relationships/theme" Target="/xl/theme/theme1.xml" Id="Rd4ee5f751be34f1e" /><Relationship Type="http://schemas.openxmlformats.org/officeDocument/2006/relationships/sharedStrings" Target="/xl/sharedStrings.xml" Id="R7cf72ce21c424dd9" /><Relationship Type="http://schemas.openxmlformats.org/officeDocument/2006/relationships/worksheet" Target="/xl/worksheets/sheet1.xml" Id="R6858c61671754532" /><Relationship Type="http://schemas.openxmlformats.org/officeDocument/2006/relationships/worksheet" Target="/xl/worksheets/sheet2.xml" Id="Rfe5e92b6e1174e7f" /></Relationships>
</file>

<file path=xl/tables/table1.xml><?xml version="1.0" encoding="utf-8"?>
<x:table xmlns:x="http://schemas.openxmlformats.org/spreadsheetml/2006/main" id="1" name="S6TaskOutcomes" displayName="S6TaskOutcomes" ref="A2:J102" headerRowCount="1" totalsRowCount="0" totalsRowShown="0">
  <x:autoFilter ref="A2:J102"/>
  <x:tableColumns count="10">
    <x:tableColumn id="1" name="Task ID"/>
    <x:tableColumn id="2" name="Original source task ID"/>
    <x:tableColumn id="3" name="Source benchmark"/>
    <x:tableColumn id="4" name="Subject"/>
    <x:tableColumn id="5" name="AutoBA"/>
    <x:tableColumn id="6" name="BioMaster"/>
    <x:tableColumn id="7" name="Biomni"/>
    <x:tableColumn id="8" name="BixBench-Agent"/>
    <x:tableColumn id="9" name="STELLA"/>
    <x:tableColumn id="10" name="BioMedAgen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e75c048651433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8" hidden="0" customWidth="1"/>
    <x:col min="2" max="2" width="9.779999732971191" hidden="0" customWidth="1"/>
    <x:col min="3" max="3" width="9.779999732971191" hidden="0" customWidth="1"/>
    <x:col min="4" max="4" width="9.779999732971191" hidden="0" customWidth="1"/>
    <x:col min="5" max="5" width="9.779999732971191" hidden="0" customWidth="1"/>
    <x:col min="6" max="6" width="9.779999732971191" hidden="0" customWidth="1"/>
    <x:col min="7" max="7" width="9.779999732971191" hidden="0" customWidth="1"/>
    <x:col min="8" max="8" width="9.779999732971191" hidden="0" customWidth="1"/>
    <x:col min="9" max="9" width="9.779999732971191" hidden="0" customWidth="1"/>
    <x:col min="10" max="10" width="9.779999732971191" hidden="0" customWidth="1"/>
    <x:col min="11" max="11" width="9.779999732971191" hidden="0" customWidth="1"/>
    <x:col min="12" max="12" width="9.779999732971191" hidden="0" customWidth="1"/>
    <x:col min="13" max="13" width="9.779999732971191" hidden="0" customWidth="1"/>
    <x:col min="14" max="14" width="9.779999732971191" hidden="0" customWidth="1"/>
    <x:col min="15" max="15" width="9.779999732971191" hidden="0" customWidth="1"/>
    <x:col min="16" max="16" width="9.779999732971191" hidden="0" customWidth="1"/>
    <x:col min="17" max="17" width="9.779999732971191" hidden="0" customWidth="1"/>
    <x:col min="18" max="18" width="9.779999732971191" hidden="0" customWidth="1"/>
    <x:col min="19" max="19" width="9.779999732971191" hidden="0" customWidth="1"/>
  </x:cols>
  <x:sheetData>
    <x:row r="1" ht="33" customHeight="1">
      <x:c r="A1" s="6" t="str">
        <x:v>Table S6. Subject-stratified Baseline Tier pilot performance.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</x:row>
    <x:row r="2" ht="24" customHeight="1">
      <x:c r="A2" s="14" t="str">
        <x:v>Subject</x:v>
      </x:c>
      <x:c r="B2" s="15" t="str">
        <x:v>AutoBA</x:v>
      </x:c>
      <x:c r="C2" s="15"/>
      <x:c r="D2" s="15"/>
      <x:c r="E2" s="15" t="str">
        <x:v>BioMaster</x:v>
      </x:c>
      <x:c r="F2" s="15"/>
      <x:c r="G2" s="15"/>
      <x:c r="H2" s="15" t="str">
        <x:v>Biomni</x:v>
      </x:c>
      <x:c r="I2" s="15"/>
      <x:c r="J2" s="15"/>
      <x:c r="K2" s="15" t="str">
        <x:v>BixBench-Agent</x:v>
      </x:c>
      <x:c r="L2" s="15"/>
      <x:c r="M2" s="15"/>
      <x:c r="N2" s="15" t="str">
        <x:v>STELLA</x:v>
      </x:c>
      <x:c r="O2" s="15"/>
      <x:c r="P2" s="15"/>
      <x:c r="Q2" s="15" t="str">
        <x:v>BioMedAgent</x:v>
      </x:c>
      <x:c r="R2" s="15"/>
      <x:c r="S2" s="16"/>
    </x:row>
    <x:row r="3" ht="33" customHeight="1">
      <x:c r="A3" s="17"/>
      <x:c r="B3" s="18" t="str">
        <x:v>Passed</x:v>
      </x:c>
      <x:c r="C3" s="18" t="str">
        <x:v>Evaluated</x:v>
      </x:c>
      <x:c r="D3" s="18" t="str">
        <x:v>Success rate</x:v>
      </x:c>
      <x:c r="E3" s="18" t="str">
        <x:v>Passed</x:v>
      </x:c>
      <x:c r="F3" s="18" t="str">
        <x:v>Evaluated</x:v>
      </x:c>
      <x:c r="G3" s="18" t="str">
        <x:v>Success rate</x:v>
      </x:c>
      <x:c r="H3" s="18" t="str">
        <x:v>Passed</x:v>
      </x:c>
      <x:c r="I3" s="18" t="str">
        <x:v>Evaluated</x:v>
      </x:c>
      <x:c r="J3" s="18" t="str">
        <x:v>Success rate</x:v>
      </x:c>
      <x:c r="K3" s="18" t="str">
        <x:v>Passed</x:v>
      </x:c>
      <x:c r="L3" s="18" t="str">
        <x:v>Evaluated</x:v>
      </x:c>
      <x:c r="M3" s="18" t="str">
        <x:v>Success rate</x:v>
      </x:c>
      <x:c r="N3" s="18" t="str">
        <x:v>Passed</x:v>
      </x:c>
      <x:c r="O3" s="18" t="str">
        <x:v>Evaluated</x:v>
      </x:c>
      <x:c r="P3" s="18" t="str">
        <x:v>Success rate</x:v>
      </x:c>
      <x:c r="Q3" s="18" t="str">
        <x:v>Passed</x:v>
      </x:c>
      <x:c r="R3" s="18" t="str">
        <x:v>Evaluated</x:v>
      </x:c>
      <x:c r="S3" s="19" t="str">
        <x:v>Success rate</x:v>
      </x:c>
    </x:row>
    <x:row r="4" ht="22.5" customHeight="1">
      <x:c r="A4" s="22" t="str">
        <x:v>DNA</x:v>
      </x:c>
      <x:c r="B4" s="34" t="n">
        <x:f>COUNTIFS('Task outcomes'!$D$3:$D$102,$A4,'Task outcomes'!$E$3:$E$102,"Pass")</x:f>
        <x:v>0</x:v>
      </x:c>
      <x:c r="C4" s="34" t="n">
        <x:f>COUNTIFS('Task outcomes'!$D$3:$D$102,$A4)</x:f>
        <x:v>4</x:v>
      </x:c>
      <x:c r="D4" s="35" t="n">
        <x:f>B4/C4</x:f>
        <x:v>0</x:v>
      </x:c>
      <x:c r="E4" s="34" t="n">
        <x:f>COUNTIFS('Task outcomes'!$D$3:$D$102,$A4,'Task outcomes'!$F$3:$F$102,"Pass")</x:f>
        <x:v>0</x:v>
      </x:c>
      <x:c r="F4" s="34" t="n">
        <x:f>COUNTIFS('Task outcomes'!$D$3:$D$102,$A4)</x:f>
        <x:v>4</x:v>
      </x:c>
      <x:c r="G4" s="35" t="n">
        <x:f>E4/F4</x:f>
        <x:v>0</x:v>
      </x:c>
      <x:c r="H4" s="34" t="n">
        <x:f>COUNTIFS('Task outcomes'!$D$3:$D$102,$A4,'Task outcomes'!$G$3:$G$102,"Pass")</x:f>
        <x:v>1</x:v>
      </x:c>
      <x:c r="I4" s="34" t="n">
        <x:f>COUNTIFS('Task outcomes'!$D$3:$D$102,$A4)</x:f>
        <x:v>4</x:v>
      </x:c>
      <x:c r="J4" s="35" t="n">
        <x:f>H4/I4</x:f>
        <x:v>0.25</x:v>
      </x:c>
      <x:c r="K4" s="34" t="n">
        <x:f>COUNTIFS('Task outcomes'!$D$3:$D$102,$A4,'Task outcomes'!$H$3:$H$102,"Pass")</x:f>
        <x:v>0</x:v>
      </x:c>
      <x:c r="L4" s="34" t="n">
        <x:f>COUNTIFS('Task outcomes'!$D$3:$D$102,$A4)</x:f>
        <x:v>4</x:v>
      </x:c>
      <x:c r="M4" s="35" t="n">
        <x:f>K4/L4</x:f>
        <x:v>0</x:v>
      </x:c>
      <x:c r="N4" s="34" t="n">
        <x:f>COUNTIFS('Task outcomes'!$D$3:$D$102,$A4,'Task outcomes'!$I$3:$I$102,"Pass")</x:f>
        <x:v>0</x:v>
      </x:c>
      <x:c r="O4" s="34" t="n">
        <x:f>COUNTIFS('Task outcomes'!$D$3:$D$102,$A4)</x:f>
        <x:v>4</x:v>
      </x:c>
      <x:c r="P4" s="35" t="n">
        <x:f>N4/O4</x:f>
        <x:v>0</x:v>
      </x:c>
      <x:c r="Q4" s="34" t="n">
        <x:f>COUNTIFS('Task outcomes'!$D$3:$D$102,$A4,'Task outcomes'!$J$3:$J$102,"Pass")</x:f>
        <x:v>0</x:v>
      </x:c>
      <x:c r="R4" s="34" t="n">
        <x:f>COUNTIFS('Task outcomes'!$D$3:$D$102,$A4)</x:f>
        <x:v>4</x:v>
      </x:c>
      <x:c r="S4" s="36" t="n">
        <x:f>Q4/R4</x:f>
        <x:v>0</x:v>
      </x:c>
    </x:row>
    <x:row r="5" ht="22.5" customHeight="1">
      <x:c r="A5" s="26" t="str">
        <x:v>RNA</x:v>
      </x:c>
      <x:c r="B5" s="37" t="n">
        <x:f>COUNTIFS('Task outcomes'!$D$3:$D$102,$A5,'Task outcomes'!$E$3:$E$102,"Pass")</x:f>
        <x:v>0</x:v>
      </x:c>
      <x:c r="C5" s="37" t="n">
        <x:f>COUNTIFS('Task outcomes'!$D$3:$D$102,$A5)</x:f>
        <x:v>2</x:v>
      </x:c>
      <x:c r="D5" s="38" t="n">
        <x:f>B5/C5</x:f>
        <x:v>0</x:v>
      </x:c>
      <x:c r="E5" s="37" t="n">
        <x:f>COUNTIFS('Task outcomes'!$D$3:$D$102,$A5,'Task outcomes'!$F$3:$F$102,"Pass")</x:f>
        <x:v>0</x:v>
      </x:c>
      <x:c r="F5" s="37" t="n">
        <x:f>COUNTIFS('Task outcomes'!$D$3:$D$102,$A5)</x:f>
        <x:v>2</x:v>
      </x:c>
      <x:c r="G5" s="38" t="n">
        <x:f>E5/F5</x:f>
        <x:v>0</x:v>
      </x:c>
      <x:c r="H5" s="37" t="n">
        <x:f>COUNTIFS('Task outcomes'!$D$3:$D$102,$A5,'Task outcomes'!$G$3:$G$102,"Pass")</x:f>
        <x:v>1</x:v>
      </x:c>
      <x:c r="I5" s="37" t="n">
        <x:f>COUNTIFS('Task outcomes'!$D$3:$D$102,$A5)</x:f>
        <x:v>2</x:v>
      </x:c>
      <x:c r="J5" s="38" t="n">
        <x:f>H5/I5</x:f>
        <x:v>0.5</x:v>
      </x:c>
      <x:c r="K5" s="37" t="n">
        <x:f>COUNTIFS('Task outcomes'!$D$3:$D$102,$A5,'Task outcomes'!$H$3:$H$102,"Pass")</x:f>
        <x:v>0</x:v>
      </x:c>
      <x:c r="L5" s="37" t="n">
        <x:f>COUNTIFS('Task outcomes'!$D$3:$D$102,$A5)</x:f>
        <x:v>2</x:v>
      </x:c>
      <x:c r="M5" s="38" t="n">
        <x:f>K5/L5</x:f>
        <x:v>0</x:v>
      </x:c>
      <x:c r="N5" s="37" t="n">
        <x:f>COUNTIFS('Task outcomes'!$D$3:$D$102,$A5,'Task outcomes'!$I$3:$I$102,"Pass")</x:f>
        <x:v>1</x:v>
      </x:c>
      <x:c r="O5" s="37" t="n">
        <x:f>COUNTIFS('Task outcomes'!$D$3:$D$102,$A5)</x:f>
        <x:v>2</x:v>
      </x:c>
      <x:c r="P5" s="38" t="n">
        <x:f>N5/O5</x:f>
        <x:v>0.5</x:v>
      </x:c>
      <x:c r="Q5" s="37" t="n">
        <x:f>COUNTIFS('Task outcomes'!$D$3:$D$102,$A5,'Task outcomes'!$J$3:$J$102,"Pass")</x:f>
        <x:v>2</x:v>
      </x:c>
      <x:c r="R5" s="37" t="n">
        <x:f>COUNTIFS('Task outcomes'!$D$3:$D$102,$A5)</x:f>
        <x:v>2</x:v>
      </x:c>
      <x:c r="S5" s="39" t="n">
        <x:f>Q5/R5</x:f>
        <x:v>1</x:v>
      </x:c>
    </x:row>
    <x:row r="6" ht="22.5" customHeight="1">
      <x:c r="A6" s="26" t="str">
        <x:v>Genetic</x:v>
      </x:c>
      <x:c r="B6" s="37" t="n">
        <x:f>COUNTIFS('Task outcomes'!$D$3:$D$102,$A6,'Task outcomes'!$E$3:$E$102,"Pass")</x:f>
        <x:v>10</x:v>
      </x:c>
      <x:c r="C6" s="37" t="n">
        <x:f>COUNTIFS('Task outcomes'!$D$3:$D$102,$A6)</x:f>
        <x:v>32</x:v>
      </x:c>
      <x:c r="D6" s="38" t="n">
        <x:f>B6/C6</x:f>
        <x:v>0.3125</x:v>
      </x:c>
      <x:c r="E6" s="37" t="n">
        <x:f>COUNTIFS('Task outcomes'!$D$3:$D$102,$A6,'Task outcomes'!$F$3:$F$102,"Pass")</x:f>
        <x:v>0</x:v>
      </x:c>
      <x:c r="F6" s="37" t="n">
        <x:f>COUNTIFS('Task outcomes'!$D$3:$D$102,$A6)</x:f>
        <x:v>32</x:v>
      </x:c>
      <x:c r="G6" s="38" t="n">
        <x:f>E6/F6</x:f>
        <x:v>0</x:v>
      </x:c>
      <x:c r="H6" s="37" t="n">
        <x:f>COUNTIFS('Task outcomes'!$D$3:$D$102,$A6,'Task outcomes'!$G$3:$G$102,"Pass")</x:f>
        <x:v>28</x:v>
      </x:c>
      <x:c r="I6" s="37" t="n">
        <x:f>COUNTIFS('Task outcomes'!$D$3:$D$102,$A6)</x:f>
        <x:v>32</x:v>
      </x:c>
      <x:c r="J6" s="38" t="n">
        <x:f>H6/I6</x:f>
        <x:v>0.875</x:v>
      </x:c>
      <x:c r="K6" s="37" t="n">
        <x:f>COUNTIFS('Task outcomes'!$D$3:$D$102,$A6,'Task outcomes'!$H$3:$H$102,"Pass")</x:f>
        <x:v>26</x:v>
      </x:c>
      <x:c r="L6" s="37" t="n">
        <x:f>COUNTIFS('Task outcomes'!$D$3:$D$102,$A6)</x:f>
        <x:v>32</x:v>
      </x:c>
      <x:c r="M6" s="38" t="n">
        <x:f>K6/L6</x:f>
        <x:v>0.8125</x:v>
      </x:c>
      <x:c r="N6" s="37" t="n">
        <x:f>COUNTIFS('Task outcomes'!$D$3:$D$102,$A6,'Task outcomes'!$I$3:$I$102,"Pass")</x:f>
        <x:v>23</x:v>
      </x:c>
      <x:c r="O6" s="37" t="n">
        <x:f>COUNTIFS('Task outcomes'!$D$3:$D$102,$A6)</x:f>
        <x:v>32</x:v>
      </x:c>
      <x:c r="P6" s="38" t="n">
        <x:f>N6/O6</x:f>
        <x:v>0.71875</x:v>
      </x:c>
      <x:c r="Q6" s="37" t="n">
        <x:f>COUNTIFS('Task outcomes'!$D$3:$D$102,$A6,'Task outcomes'!$J$3:$J$102,"Pass")</x:f>
        <x:v>24</x:v>
      </x:c>
      <x:c r="R6" s="37" t="n">
        <x:f>COUNTIFS('Task outcomes'!$D$3:$D$102,$A6)</x:f>
        <x:v>32</x:v>
      </x:c>
      <x:c r="S6" s="39" t="n">
        <x:f>Q6/R6</x:f>
        <x:v>0.75</x:v>
      </x:c>
    </x:row>
    <x:row r="7" ht="22.5" customHeight="1">
      <x:c r="A7" s="26" t="str">
        <x:v>Descriptive statistics</x:v>
      </x:c>
      <x:c r="B7" s="37" t="n">
        <x:f>COUNTIFS('Task outcomes'!$D$3:$D$102,$A7,'Task outcomes'!$E$3:$E$102,"Pass")</x:f>
        <x:v>5</x:v>
      </x:c>
      <x:c r="C7" s="37" t="n">
        <x:f>COUNTIFS('Task outcomes'!$D$3:$D$102,$A7)</x:f>
        <x:v>17</x:v>
      </x:c>
      <x:c r="D7" s="38" t="n">
        <x:f>B7/C7</x:f>
        <x:v>0.29411764705882354</x:v>
      </x:c>
      <x:c r="E7" s="37" t="n">
        <x:f>COUNTIFS('Task outcomes'!$D$3:$D$102,$A7,'Task outcomes'!$F$3:$F$102,"Pass")</x:f>
        <x:v>1</x:v>
      </x:c>
      <x:c r="F7" s="37" t="n">
        <x:f>COUNTIFS('Task outcomes'!$D$3:$D$102,$A7)</x:f>
        <x:v>17</x:v>
      </x:c>
      <x:c r="G7" s="38" t="n">
        <x:f>E7/F7</x:f>
        <x:v>0.058823529411764705</x:v>
      </x:c>
      <x:c r="H7" s="37" t="n">
        <x:f>COUNTIFS('Task outcomes'!$D$3:$D$102,$A7,'Task outcomes'!$G$3:$G$102,"Pass")</x:f>
        <x:v>10</x:v>
      </x:c>
      <x:c r="I7" s="37" t="n">
        <x:f>COUNTIFS('Task outcomes'!$D$3:$D$102,$A7)</x:f>
        <x:v>17</x:v>
      </x:c>
      <x:c r="J7" s="38" t="n">
        <x:f>H7/I7</x:f>
        <x:v>0.5882352941176471</x:v>
      </x:c>
      <x:c r="K7" s="37" t="n">
        <x:f>COUNTIFS('Task outcomes'!$D$3:$D$102,$A7,'Task outcomes'!$H$3:$H$102,"Pass")</x:f>
        <x:v>11</x:v>
      </x:c>
      <x:c r="L7" s="37" t="n">
        <x:f>COUNTIFS('Task outcomes'!$D$3:$D$102,$A7)</x:f>
        <x:v>17</x:v>
      </x:c>
      <x:c r="M7" s="38" t="n">
        <x:f>K7/L7</x:f>
        <x:v>0.6470588235294118</x:v>
      </x:c>
      <x:c r="N7" s="37" t="n">
        <x:f>COUNTIFS('Task outcomes'!$D$3:$D$102,$A7,'Task outcomes'!$I$3:$I$102,"Pass")</x:f>
        <x:v>11</x:v>
      </x:c>
      <x:c r="O7" s="37" t="n">
        <x:f>COUNTIFS('Task outcomes'!$D$3:$D$102,$A7)</x:f>
        <x:v>17</x:v>
      </x:c>
      <x:c r="P7" s="38" t="n">
        <x:f>N7/O7</x:f>
        <x:v>0.6470588235294118</x:v>
      </x:c>
      <x:c r="Q7" s="37" t="n">
        <x:f>COUNTIFS('Task outcomes'!$D$3:$D$102,$A7,'Task outcomes'!$J$3:$J$102,"Pass")</x:f>
        <x:v>12</x:v>
      </x:c>
      <x:c r="R7" s="37" t="n">
        <x:f>COUNTIFS('Task outcomes'!$D$3:$D$102,$A7)</x:f>
        <x:v>17</x:v>
      </x:c>
      <x:c r="S7" s="39" t="n">
        <x:f>Q7/R7</x:f>
        <x:v>0.7058823529411765</x:v>
      </x:c>
    </x:row>
    <x:row r="8" ht="22.5" customHeight="1">
      <x:c r="A8" s="26" t="str">
        <x:v>Inferential statistics</x:v>
      </x:c>
      <x:c r="B8" s="37" t="n">
        <x:f>COUNTIFS('Task outcomes'!$D$3:$D$102,$A8,'Task outcomes'!$E$3:$E$102,"Pass")</x:f>
        <x:v>3</x:v>
      </x:c>
      <x:c r="C8" s="37" t="n">
        <x:f>COUNTIFS('Task outcomes'!$D$3:$D$102,$A8)</x:f>
        <x:v>9</x:v>
      </x:c>
      <x:c r="D8" s="38" t="n">
        <x:f>B8/C8</x:f>
        <x:v>0.3333333333333333</x:v>
      </x:c>
      <x:c r="E8" s="37" t="n">
        <x:f>COUNTIFS('Task outcomes'!$D$3:$D$102,$A8,'Task outcomes'!$F$3:$F$102,"Pass")</x:f>
        <x:v>0</x:v>
      </x:c>
      <x:c r="F8" s="37" t="n">
        <x:f>COUNTIFS('Task outcomes'!$D$3:$D$102,$A8)</x:f>
        <x:v>9</x:v>
      </x:c>
      <x:c r="G8" s="38" t="n">
        <x:f>E8/F8</x:f>
        <x:v>0</x:v>
      </x:c>
      <x:c r="H8" s="37" t="n">
        <x:f>COUNTIFS('Task outcomes'!$D$3:$D$102,$A8,'Task outcomes'!$G$3:$G$102,"Pass")</x:f>
        <x:v>7</x:v>
      </x:c>
      <x:c r="I8" s="37" t="n">
        <x:f>COUNTIFS('Task outcomes'!$D$3:$D$102,$A8)</x:f>
        <x:v>9</x:v>
      </x:c>
      <x:c r="J8" s="38" t="n">
        <x:f>H8/I8</x:f>
        <x:v>0.7777777777777778</x:v>
      </x:c>
      <x:c r="K8" s="37" t="n">
        <x:f>COUNTIFS('Task outcomes'!$D$3:$D$102,$A8,'Task outcomes'!$H$3:$H$102,"Pass")</x:f>
        <x:v>7</x:v>
      </x:c>
      <x:c r="L8" s="37" t="n">
        <x:f>COUNTIFS('Task outcomes'!$D$3:$D$102,$A8)</x:f>
        <x:v>9</x:v>
      </x:c>
      <x:c r="M8" s="38" t="n">
        <x:f>K8/L8</x:f>
        <x:v>0.7777777777777778</x:v>
      </x:c>
      <x:c r="N8" s="37" t="n">
        <x:f>COUNTIFS('Task outcomes'!$D$3:$D$102,$A8,'Task outcomes'!$I$3:$I$102,"Pass")</x:f>
        <x:v>7</x:v>
      </x:c>
      <x:c r="O8" s="37" t="n">
        <x:f>COUNTIFS('Task outcomes'!$D$3:$D$102,$A8)</x:f>
        <x:v>9</x:v>
      </x:c>
      <x:c r="P8" s="38" t="n">
        <x:f>N8/O8</x:f>
        <x:v>0.7777777777777778</x:v>
      </x:c>
      <x:c r="Q8" s="37" t="n">
        <x:f>COUNTIFS('Task outcomes'!$D$3:$D$102,$A8,'Task outcomes'!$J$3:$J$102,"Pass")</x:f>
        <x:v>6</x:v>
      </x:c>
      <x:c r="R8" s="37" t="n">
        <x:f>COUNTIFS('Task outcomes'!$D$3:$D$102,$A8)</x:f>
        <x:v>9</x:v>
      </x:c>
      <x:c r="S8" s="39" t="n">
        <x:f>Q8/R8</x:f>
        <x:v>0.6666666666666666</x:v>
      </x:c>
    </x:row>
    <x:row r="9" ht="22.5" customHeight="1">
      <x:c r="A9" s="26" t="str">
        <x:v>Basic plot</x:v>
      </x:c>
      <x:c r="B9" s="37" t="n">
        <x:f>COUNTIFS('Task outcomes'!$D$3:$D$102,$A9,'Task outcomes'!$E$3:$E$102,"Pass")</x:f>
        <x:v>3</x:v>
      </x:c>
      <x:c r="C9" s="37" t="n">
        <x:f>COUNTIFS('Task outcomes'!$D$3:$D$102,$A9)</x:f>
        <x:v>4</x:v>
      </x:c>
      <x:c r="D9" s="38" t="n">
        <x:f>B9/C9</x:f>
        <x:v>0.75</x:v>
      </x:c>
      <x:c r="E9" s="37" t="n">
        <x:f>COUNTIFS('Task outcomes'!$D$3:$D$102,$A9,'Task outcomes'!$F$3:$F$102,"Pass")</x:f>
        <x:v>0</x:v>
      </x:c>
      <x:c r="F9" s="37" t="n">
        <x:f>COUNTIFS('Task outcomes'!$D$3:$D$102,$A9)</x:f>
        <x:v>4</x:v>
      </x:c>
      <x:c r="G9" s="38" t="n">
        <x:f>E9/F9</x:f>
        <x:v>0</x:v>
      </x:c>
      <x:c r="H9" s="37" t="n">
        <x:f>COUNTIFS('Task outcomes'!$D$3:$D$102,$A9,'Task outcomes'!$G$3:$G$102,"Pass")</x:f>
        <x:v>4</x:v>
      </x:c>
      <x:c r="I9" s="37" t="n">
        <x:f>COUNTIFS('Task outcomes'!$D$3:$D$102,$A9)</x:f>
        <x:v>4</x:v>
      </x:c>
      <x:c r="J9" s="38" t="n">
        <x:f>H9/I9</x:f>
        <x:v>1</x:v>
      </x:c>
      <x:c r="K9" s="37" t="n">
        <x:f>COUNTIFS('Task outcomes'!$D$3:$D$102,$A9,'Task outcomes'!$H$3:$H$102,"Pass")</x:f>
        <x:v>4</x:v>
      </x:c>
      <x:c r="L9" s="37" t="n">
        <x:f>COUNTIFS('Task outcomes'!$D$3:$D$102,$A9)</x:f>
        <x:v>4</x:v>
      </x:c>
      <x:c r="M9" s="38" t="n">
        <x:f>K9/L9</x:f>
        <x:v>1</x:v>
      </x:c>
      <x:c r="N9" s="37" t="n">
        <x:f>COUNTIFS('Task outcomes'!$D$3:$D$102,$A9,'Task outcomes'!$I$3:$I$102,"Pass")</x:f>
        <x:v>4</x:v>
      </x:c>
      <x:c r="O9" s="37" t="n">
        <x:f>COUNTIFS('Task outcomes'!$D$3:$D$102,$A9)</x:f>
        <x:v>4</x:v>
      </x:c>
      <x:c r="P9" s="38" t="n">
        <x:f>N9/O9</x:f>
        <x:v>1</x:v>
      </x:c>
      <x:c r="Q9" s="37" t="n">
        <x:f>COUNTIFS('Task outcomes'!$D$3:$D$102,$A9,'Task outcomes'!$J$3:$J$102,"Pass")</x:f>
        <x:v>4</x:v>
      </x:c>
      <x:c r="R9" s="37" t="n">
        <x:f>COUNTIFS('Task outcomes'!$D$3:$D$102,$A9)</x:f>
        <x:v>4</x:v>
      </x:c>
      <x:c r="S9" s="39" t="n">
        <x:f>Q9/R9</x:f>
        <x:v>1</x:v>
      </x:c>
    </x:row>
    <x:row r="10" ht="22.5" customHeight="1">
      <x:c r="A10" s="26" t="str">
        <x:v>Fitting &amp; inference</x:v>
      </x:c>
      <x:c r="B10" s="37" t="n">
        <x:f>COUNTIFS('Task outcomes'!$D$3:$D$102,$A10,'Task outcomes'!$E$3:$E$102,"Pass")</x:f>
        <x:v>4</x:v>
      </x:c>
      <x:c r="C10" s="37" t="n">
        <x:f>COUNTIFS('Task outcomes'!$D$3:$D$102,$A10)</x:f>
        <x:v>6</x:v>
      </x:c>
      <x:c r="D10" s="38" t="n">
        <x:f>B10/C10</x:f>
        <x:v>0.6666666666666666</x:v>
      </x:c>
      <x:c r="E10" s="37" t="n">
        <x:f>COUNTIFS('Task outcomes'!$D$3:$D$102,$A10,'Task outcomes'!$F$3:$F$102,"Pass")</x:f>
        <x:v>1</x:v>
      </x:c>
      <x:c r="F10" s="37" t="n">
        <x:f>COUNTIFS('Task outcomes'!$D$3:$D$102,$A10)</x:f>
        <x:v>6</x:v>
      </x:c>
      <x:c r="G10" s="38" t="n">
        <x:f>E10/F10</x:f>
        <x:v>0.16666666666666666</x:v>
      </x:c>
      <x:c r="H10" s="37" t="n">
        <x:f>COUNTIFS('Task outcomes'!$D$3:$D$102,$A10,'Task outcomes'!$G$3:$G$102,"Pass")</x:f>
        <x:v>6</x:v>
      </x:c>
      <x:c r="I10" s="37" t="n">
        <x:f>COUNTIFS('Task outcomes'!$D$3:$D$102,$A10)</x:f>
        <x:v>6</x:v>
      </x:c>
      <x:c r="J10" s="38" t="n">
        <x:f>H10/I10</x:f>
        <x:v>1</x:v>
      </x:c>
      <x:c r="K10" s="37" t="n">
        <x:f>COUNTIFS('Task outcomes'!$D$3:$D$102,$A10,'Task outcomes'!$H$3:$H$102,"Pass")</x:f>
        <x:v>6</x:v>
      </x:c>
      <x:c r="L10" s="37" t="n">
        <x:f>COUNTIFS('Task outcomes'!$D$3:$D$102,$A10)</x:f>
        <x:v>6</x:v>
      </x:c>
      <x:c r="M10" s="38" t="n">
        <x:f>K10/L10</x:f>
        <x:v>1</x:v>
      </x:c>
      <x:c r="N10" s="37" t="n">
        <x:f>COUNTIFS('Task outcomes'!$D$3:$D$102,$A10,'Task outcomes'!$I$3:$I$102,"Pass")</x:f>
        <x:v>6</x:v>
      </x:c>
      <x:c r="O10" s="37" t="n">
        <x:f>COUNTIFS('Task outcomes'!$D$3:$D$102,$A10)</x:f>
        <x:v>6</x:v>
      </x:c>
      <x:c r="P10" s="38" t="n">
        <x:f>N10/O10</x:f>
        <x:v>1</x:v>
      </x:c>
      <x:c r="Q10" s="37" t="n">
        <x:f>COUNTIFS('Task outcomes'!$D$3:$D$102,$A10,'Task outcomes'!$J$3:$J$102,"Pass")</x:f>
        <x:v>5</x:v>
      </x:c>
      <x:c r="R10" s="37" t="n">
        <x:f>COUNTIFS('Task outcomes'!$D$3:$D$102,$A10)</x:f>
        <x:v>6</x:v>
      </x:c>
      <x:c r="S10" s="39" t="n">
        <x:f>Q10/R10</x:f>
        <x:v>0.8333333333333334</x:v>
      </x:c>
    </x:row>
    <x:row r="11" ht="22.5" customHeight="1">
      <x:c r="A11" s="26" t="str">
        <x:v>Upset</x:v>
      </x:c>
      <x:c r="B11" s="37" t="n">
        <x:f>COUNTIFS('Task outcomes'!$D$3:$D$102,$A11,'Task outcomes'!$E$3:$E$102,"Pass")</x:f>
        <x:v>2</x:v>
      </x:c>
      <x:c r="C11" s="37" t="n">
        <x:f>COUNTIFS('Task outcomes'!$D$3:$D$102,$A11)</x:f>
        <x:v>3</x:v>
      </x:c>
      <x:c r="D11" s="38" t="n">
        <x:f>B11/C11</x:f>
        <x:v>0.6666666666666666</x:v>
      </x:c>
      <x:c r="E11" s="37" t="n">
        <x:f>COUNTIFS('Task outcomes'!$D$3:$D$102,$A11,'Task outcomes'!$F$3:$F$102,"Pass")</x:f>
        <x:v>1</x:v>
      </x:c>
      <x:c r="F11" s="37" t="n">
        <x:f>COUNTIFS('Task outcomes'!$D$3:$D$102,$A11)</x:f>
        <x:v>3</x:v>
      </x:c>
      <x:c r="G11" s="38" t="n">
        <x:f>E11/F11</x:f>
        <x:v>0.3333333333333333</x:v>
      </x:c>
      <x:c r="H11" s="37" t="n">
        <x:f>COUNTIFS('Task outcomes'!$D$3:$D$102,$A11,'Task outcomes'!$G$3:$G$102,"Pass")</x:f>
        <x:v>3</x:v>
      </x:c>
      <x:c r="I11" s="37" t="n">
        <x:f>COUNTIFS('Task outcomes'!$D$3:$D$102,$A11)</x:f>
        <x:v>3</x:v>
      </x:c>
      <x:c r="J11" s="38" t="n">
        <x:f>H11/I11</x:f>
        <x:v>1</x:v>
      </x:c>
      <x:c r="K11" s="37" t="n">
        <x:f>COUNTIFS('Task outcomes'!$D$3:$D$102,$A11,'Task outcomes'!$H$3:$H$102,"Pass")</x:f>
        <x:v>3</x:v>
      </x:c>
      <x:c r="L11" s="37" t="n">
        <x:f>COUNTIFS('Task outcomes'!$D$3:$D$102,$A11)</x:f>
        <x:v>3</x:v>
      </x:c>
      <x:c r="M11" s="38" t="n">
        <x:f>K11/L11</x:f>
        <x:v>1</x:v>
      </x:c>
      <x:c r="N11" s="37" t="n">
        <x:f>COUNTIFS('Task outcomes'!$D$3:$D$102,$A11,'Task outcomes'!$I$3:$I$102,"Pass")</x:f>
        <x:v>2</x:v>
      </x:c>
      <x:c r="O11" s="37" t="n">
        <x:f>COUNTIFS('Task outcomes'!$D$3:$D$102,$A11)</x:f>
        <x:v>3</x:v>
      </x:c>
      <x:c r="P11" s="38" t="n">
        <x:f>N11/O11</x:f>
        <x:v>0.6666666666666666</x:v>
      </x:c>
      <x:c r="Q11" s="37" t="n">
        <x:f>COUNTIFS('Task outcomes'!$D$3:$D$102,$A11,'Task outcomes'!$J$3:$J$102,"Pass")</x:f>
        <x:v>3</x:v>
      </x:c>
      <x:c r="R11" s="37" t="n">
        <x:f>COUNTIFS('Task outcomes'!$D$3:$D$102,$A11)</x:f>
        <x:v>3</x:v>
      </x:c>
      <x:c r="S11" s="39" t="n">
        <x:f>Q11/R11</x:f>
        <x:v>1</x:v>
      </x:c>
    </x:row>
    <x:row r="12" ht="22.5" customHeight="1">
      <x:c r="A12" s="26" t="str">
        <x:v>Other</x:v>
      </x:c>
      <x:c r="B12" s="37" t="n">
        <x:f>COUNTIFS('Task outcomes'!$D$3:$D$102,$A12,'Task outcomes'!$E$3:$E$102,"Pass")</x:f>
        <x:v>2</x:v>
      </x:c>
      <x:c r="C12" s="37" t="n">
        <x:f>COUNTIFS('Task outcomes'!$D$3:$D$102,$A12)</x:f>
        <x:v>3</x:v>
      </x:c>
      <x:c r="D12" s="38" t="n">
        <x:f>B12/C12</x:f>
        <x:v>0.6666666666666666</x:v>
      </x:c>
      <x:c r="E12" s="37" t="n">
        <x:f>COUNTIFS('Task outcomes'!$D$3:$D$102,$A12,'Task outcomes'!$F$3:$F$102,"Pass")</x:f>
        <x:v>0</x:v>
      </x:c>
      <x:c r="F12" s="37" t="n">
        <x:f>COUNTIFS('Task outcomes'!$D$3:$D$102,$A12)</x:f>
        <x:v>3</x:v>
      </x:c>
      <x:c r="G12" s="38" t="n">
        <x:f>E12/F12</x:f>
        <x:v>0</x:v>
      </x:c>
      <x:c r="H12" s="37" t="n">
        <x:f>COUNTIFS('Task outcomes'!$D$3:$D$102,$A12,'Task outcomes'!$G$3:$G$102,"Pass")</x:f>
        <x:v>3</x:v>
      </x:c>
      <x:c r="I12" s="37" t="n">
        <x:f>COUNTIFS('Task outcomes'!$D$3:$D$102,$A12)</x:f>
        <x:v>3</x:v>
      </x:c>
      <x:c r="J12" s="38" t="n">
        <x:f>H12/I12</x:f>
        <x:v>1</x:v>
      </x:c>
      <x:c r="K12" s="37" t="n">
        <x:f>COUNTIFS('Task outcomes'!$D$3:$D$102,$A12,'Task outcomes'!$H$3:$H$102,"Pass")</x:f>
        <x:v>3</x:v>
      </x:c>
      <x:c r="L12" s="37" t="n">
        <x:f>COUNTIFS('Task outcomes'!$D$3:$D$102,$A12)</x:f>
        <x:v>3</x:v>
      </x:c>
      <x:c r="M12" s="38" t="n">
        <x:f>K12/L12</x:f>
        <x:v>1</x:v>
      </x:c>
      <x:c r="N12" s="37" t="n">
        <x:f>COUNTIFS('Task outcomes'!$D$3:$D$102,$A12,'Task outcomes'!$I$3:$I$102,"Pass")</x:f>
        <x:v>3</x:v>
      </x:c>
      <x:c r="O12" s="37" t="n">
        <x:f>COUNTIFS('Task outcomes'!$D$3:$D$102,$A12)</x:f>
        <x:v>3</x:v>
      </x:c>
      <x:c r="P12" s="38" t="n">
        <x:f>N12/O12</x:f>
        <x:v>1</x:v>
      </x:c>
      <x:c r="Q12" s="37" t="n">
        <x:f>COUNTIFS('Task outcomes'!$D$3:$D$102,$A12,'Task outcomes'!$J$3:$J$102,"Pass")</x:f>
        <x:v>2</x:v>
      </x:c>
      <x:c r="R12" s="37" t="n">
        <x:f>COUNTIFS('Task outcomes'!$D$3:$D$102,$A12)</x:f>
        <x:v>3</x:v>
      </x:c>
      <x:c r="S12" s="39" t="n">
        <x:f>Q12/R12</x:f>
        <x:v>0.6666666666666666</x:v>
      </x:c>
    </x:row>
    <x:row r="13" ht="22.5" customHeight="1">
      <x:c r="A13" s="26" t="str">
        <x:v>Survival</x:v>
      </x:c>
      <x:c r="B13" s="37" t="n">
        <x:f>COUNTIFS('Task outcomes'!$D$3:$D$102,$A13,'Task outcomes'!$E$3:$E$102,"Pass")</x:f>
        <x:v>1</x:v>
      </x:c>
      <x:c r="C13" s="37" t="n">
        <x:f>COUNTIFS('Task outcomes'!$D$3:$D$102,$A13)</x:f>
        <x:v>8</x:v>
      </x:c>
      <x:c r="D13" s="38" t="n">
        <x:f>B13/C13</x:f>
        <x:v>0.125</x:v>
      </x:c>
      <x:c r="E13" s="37" t="n">
        <x:f>COUNTIFS('Task outcomes'!$D$3:$D$102,$A13,'Task outcomes'!$F$3:$F$102,"Pass")</x:f>
        <x:v>0</x:v>
      </x:c>
      <x:c r="F13" s="37" t="n">
        <x:f>COUNTIFS('Task outcomes'!$D$3:$D$102,$A13)</x:f>
        <x:v>8</x:v>
      </x:c>
      <x:c r="G13" s="38" t="n">
        <x:f>E13/F13</x:f>
        <x:v>0</x:v>
      </x:c>
      <x:c r="H13" s="37" t="n">
        <x:f>COUNTIFS('Task outcomes'!$D$3:$D$102,$A13,'Task outcomes'!$G$3:$G$102,"Pass")</x:f>
        <x:v>7</x:v>
      </x:c>
      <x:c r="I13" s="37" t="n">
        <x:f>COUNTIFS('Task outcomes'!$D$3:$D$102,$A13)</x:f>
        <x:v>8</x:v>
      </x:c>
      <x:c r="J13" s="38" t="n">
        <x:f>H13/I13</x:f>
        <x:v>0.875</x:v>
      </x:c>
      <x:c r="K13" s="37" t="n">
        <x:f>COUNTIFS('Task outcomes'!$D$3:$D$102,$A13,'Task outcomes'!$H$3:$H$102,"Pass")</x:f>
        <x:v>6</x:v>
      </x:c>
      <x:c r="L13" s="37" t="n">
        <x:f>COUNTIFS('Task outcomes'!$D$3:$D$102,$A13)</x:f>
        <x:v>8</x:v>
      </x:c>
      <x:c r="M13" s="38" t="n">
        <x:f>K13/L13</x:f>
        <x:v>0.75</x:v>
      </x:c>
      <x:c r="N13" s="37" t="n">
        <x:f>COUNTIFS('Task outcomes'!$D$3:$D$102,$A13,'Task outcomes'!$I$3:$I$102,"Pass")</x:f>
        <x:v>4</x:v>
      </x:c>
      <x:c r="O13" s="37" t="n">
        <x:f>COUNTIFS('Task outcomes'!$D$3:$D$102,$A13)</x:f>
        <x:v>8</x:v>
      </x:c>
      <x:c r="P13" s="38" t="n">
        <x:f>N13/O13</x:f>
        <x:v>0.5</x:v>
      </x:c>
      <x:c r="Q13" s="37" t="n">
        <x:f>COUNTIFS('Task outcomes'!$D$3:$D$102,$A13,'Task outcomes'!$J$3:$J$102,"Pass")</x:f>
        <x:v>7</x:v>
      </x:c>
      <x:c r="R13" s="37" t="n">
        <x:f>COUNTIFS('Task outcomes'!$D$3:$D$102,$A13)</x:f>
        <x:v>8</x:v>
      </x:c>
      <x:c r="S13" s="39" t="n">
        <x:f>Q13/R13</x:f>
        <x:v>0.875</x:v>
      </x:c>
    </x:row>
    <x:row r="14" ht="22.5" customHeight="1">
      <x:c r="A14" s="26" t="str">
        <x:v>FigQA</x:v>
      </x:c>
      <x:c r="B14" s="37" t="n">
        <x:f>COUNTIFS('Task outcomes'!$D$3:$D$102,$A14,'Task outcomes'!$E$3:$E$102,"Pass")</x:f>
        <x:v>0</x:v>
      </x:c>
      <x:c r="C14" s="37" t="n">
        <x:f>COUNTIFS('Task outcomes'!$D$3:$D$102,$A14)</x:f>
        <x:v>2</x:v>
      </x:c>
      <x:c r="D14" s="38" t="n">
        <x:f>B14/C14</x:f>
        <x:v>0</x:v>
      </x:c>
      <x:c r="E14" s="37" t="n">
        <x:f>COUNTIFS('Task outcomes'!$D$3:$D$102,$A14,'Task outcomes'!$F$3:$F$102,"Pass")</x:f>
        <x:v>0</x:v>
      </x:c>
      <x:c r="F14" s="37" t="n">
        <x:f>COUNTIFS('Task outcomes'!$D$3:$D$102,$A14)</x:f>
        <x:v>2</x:v>
      </x:c>
      <x:c r="G14" s="38" t="n">
        <x:f>E14/F14</x:f>
        <x:v>0</x:v>
      </x:c>
      <x:c r="H14" s="37" t="n">
        <x:f>COUNTIFS('Task outcomes'!$D$3:$D$102,$A14,'Task outcomes'!$G$3:$G$102,"Pass")</x:f>
        <x:v>1</x:v>
      </x:c>
      <x:c r="I14" s="37" t="n">
        <x:f>COUNTIFS('Task outcomes'!$D$3:$D$102,$A14)</x:f>
        <x:v>2</x:v>
      </x:c>
      <x:c r="J14" s="38" t="n">
        <x:f>H14/I14</x:f>
        <x:v>0.5</x:v>
      </x:c>
      <x:c r="K14" s="37" t="n">
        <x:f>COUNTIFS('Task outcomes'!$D$3:$D$102,$A14,'Task outcomes'!$H$3:$H$102,"Pass")</x:f>
        <x:v>1</x:v>
      </x:c>
      <x:c r="L14" s="37" t="n">
        <x:f>COUNTIFS('Task outcomes'!$D$3:$D$102,$A14)</x:f>
        <x:v>2</x:v>
      </x:c>
      <x:c r="M14" s="38" t="n">
        <x:f>K14/L14</x:f>
        <x:v>0.5</x:v>
      </x:c>
      <x:c r="N14" s="37" t="n">
        <x:f>COUNTIFS('Task outcomes'!$D$3:$D$102,$A14,'Task outcomes'!$I$3:$I$102,"Pass")</x:f>
        <x:v>1</x:v>
      </x:c>
      <x:c r="O14" s="37" t="n">
        <x:f>COUNTIFS('Task outcomes'!$D$3:$D$102,$A14)</x:f>
        <x:v>2</x:v>
      </x:c>
      <x:c r="P14" s="38" t="n">
        <x:f>N14/O14</x:f>
        <x:v>0.5</x:v>
      </x:c>
      <x:c r="Q14" s="37" t="n">
        <x:f>COUNTIFS('Task outcomes'!$D$3:$D$102,$A14,'Task outcomes'!$J$3:$J$102,"Pass")</x:f>
        <x:v>1</x:v>
      </x:c>
      <x:c r="R14" s="37" t="n">
        <x:f>COUNTIFS('Task outcomes'!$D$3:$D$102,$A14)</x:f>
        <x:v>2</x:v>
      </x:c>
      <x:c r="S14" s="39" t="n">
        <x:f>Q14/R14</x:f>
        <x:v>0.5</x:v>
      </x:c>
    </x:row>
    <x:row r="15" ht="22.5" customHeight="1">
      <x:c r="A15" s="26" t="str">
        <x:v>LitQA</x:v>
      </x:c>
      <x:c r="B15" s="37" t="n">
        <x:f>COUNTIFS('Task outcomes'!$D$3:$D$102,$A15,'Task outcomes'!$E$3:$E$102,"Pass")</x:f>
        <x:v>0</x:v>
      </x:c>
      <x:c r="C15" s="37" t="n">
        <x:f>COUNTIFS('Task outcomes'!$D$3:$D$102,$A15)</x:f>
        <x:v>2</x:v>
      </x:c>
      <x:c r="D15" s="38" t="n">
        <x:f>B15/C15</x:f>
        <x:v>0</x:v>
      </x:c>
      <x:c r="E15" s="37" t="n">
        <x:f>COUNTIFS('Task outcomes'!$D$3:$D$102,$A15,'Task outcomes'!$F$3:$F$102,"Pass")</x:f>
        <x:v>0</x:v>
      </x:c>
      <x:c r="F15" s="37" t="n">
        <x:f>COUNTIFS('Task outcomes'!$D$3:$D$102,$A15)</x:f>
        <x:v>2</x:v>
      </x:c>
      <x:c r="G15" s="38" t="n">
        <x:f>E15/F15</x:f>
        <x:v>0</x:v>
      </x:c>
      <x:c r="H15" s="37" t="n">
        <x:f>COUNTIFS('Task outcomes'!$D$3:$D$102,$A15,'Task outcomes'!$G$3:$G$102,"Pass")</x:f>
        <x:v>2</x:v>
      </x:c>
      <x:c r="I15" s="37" t="n">
        <x:f>COUNTIFS('Task outcomes'!$D$3:$D$102,$A15)</x:f>
        <x:v>2</x:v>
      </x:c>
      <x:c r="J15" s="38" t="n">
        <x:f>H15/I15</x:f>
        <x:v>1</x:v>
      </x:c>
      <x:c r="K15" s="37" t="n">
        <x:f>COUNTIFS('Task outcomes'!$D$3:$D$102,$A15,'Task outcomes'!$H$3:$H$102,"Pass")</x:f>
        <x:v>2</x:v>
      </x:c>
      <x:c r="L15" s="37" t="n">
        <x:f>COUNTIFS('Task outcomes'!$D$3:$D$102,$A15)</x:f>
        <x:v>2</x:v>
      </x:c>
      <x:c r="M15" s="38" t="n">
        <x:f>K15/L15</x:f>
        <x:v>1</x:v>
      </x:c>
      <x:c r="N15" s="37" t="n">
        <x:f>COUNTIFS('Task outcomes'!$D$3:$D$102,$A15,'Task outcomes'!$I$3:$I$102,"Pass")</x:f>
        <x:v>2</x:v>
      </x:c>
      <x:c r="O15" s="37" t="n">
        <x:f>COUNTIFS('Task outcomes'!$D$3:$D$102,$A15)</x:f>
        <x:v>2</x:v>
      </x:c>
      <x:c r="P15" s="38" t="n">
        <x:f>N15/O15</x:f>
        <x:v>1</x:v>
      </x:c>
      <x:c r="Q15" s="37" t="n">
        <x:f>COUNTIFS('Task outcomes'!$D$3:$D$102,$A15,'Task outcomes'!$J$3:$J$102,"Pass")</x:f>
        <x:v>2</x:v>
      </x:c>
      <x:c r="R15" s="37" t="n">
        <x:f>COUNTIFS('Task outcomes'!$D$3:$D$102,$A15)</x:f>
        <x:v>2</x:v>
      </x:c>
      <x:c r="S15" s="39" t="n">
        <x:f>Q15/R15</x:f>
        <x:v>1</x:v>
      </x:c>
    </x:row>
    <x:row r="16" ht="22.5" customHeight="1">
      <x:c r="A16" s="26" t="str">
        <x:v>ProtocolQA</x:v>
      </x:c>
      <x:c r="B16" s="37" t="n">
        <x:f>COUNTIFS('Task outcomes'!$D$3:$D$102,$A16,'Task outcomes'!$E$3:$E$102,"Pass")</x:f>
        <x:v>1</x:v>
      </x:c>
      <x:c r="C16" s="37" t="n">
        <x:f>COUNTIFS('Task outcomes'!$D$3:$D$102,$A16)</x:f>
        <x:v>1</x:v>
      </x:c>
      <x:c r="D16" s="38" t="n">
        <x:f>B16/C16</x:f>
        <x:v>1</x:v>
      </x:c>
      <x:c r="E16" s="37" t="n">
        <x:f>COUNTIFS('Task outcomes'!$D$3:$D$102,$A16,'Task outcomes'!$F$3:$F$102,"Pass")</x:f>
        <x:v>1</x:v>
      </x:c>
      <x:c r="F16" s="37" t="n">
        <x:f>COUNTIFS('Task outcomes'!$D$3:$D$102,$A16)</x:f>
        <x:v>1</x:v>
      </x:c>
      <x:c r="G16" s="38" t="n">
        <x:f>E16/F16</x:f>
        <x:v>1</x:v>
      </x:c>
      <x:c r="H16" s="37" t="n">
        <x:f>COUNTIFS('Task outcomes'!$D$3:$D$102,$A16,'Task outcomes'!$G$3:$G$102,"Pass")</x:f>
        <x:v>1</x:v>
      </x:c>
      <x:c r="I16" s="37" t="n">
        <x:f>COUNTIFS('Task outcomes'!$D$3:$D$102,$A16)</x:f>
        <x:v>1</x:v>
      </x:c>
      <x:c r="J16" s="38" t="n">
        <x:f>H16/I16</x:f>
        <x:v>1</x:v>
      </x:c>
      <x:c r="K16" s="37" t="n">
        <x:f>COUNTIFS('Task outcomes'!$D$3:$D$102,$A16,'Task outcomes'!$H$3:$H$102,"Pass")</x:f>
        <x:v>1</x:v>
      </x:c>
      <x:c r="L16" s="37" t="n">
        <x:f>COUNTIFS('Task outcomes'!$D$3:$D$102,$A16)</x:f>
        <x:v>1</x:v>
      </x:c>
      <x:c r="M16" s="38" t="n">
        <x:f>K16/L16</x:f>
        <x:v>1</x:v>
      </x:c>
      <x:c r="N16" s="37" t="n">
        <x:f>COUNTIFS('Task outcomes'!$D$3:$D$102,$A16,'Task outcomes'!$I$3:$I$102,"Pass")</x:f>
        <x:v>1</x:v>
      </x:c>
      <x:c r="O16" s="37" t="n">
        <x:f>COUNTIFS('Task outcomes'!$D$3:$D$102,$A16)</x:f>
        <x:v>1</x:v>
      </x:c>
      <x:c r="P16" s="38" t="n">
        <x:f>N16/O16</x:f>
        <x:v>1</x:v>
      </x:c>
      <x:c r="Q16" s="37" t="n">
        <x:f>COUNTIFS('Task outcomes'!$D$3:$D$102,$A16,'Task outcomes'!$J$3:$J$102,"Pass")</x:f>
        <x:v>0</x:v>
      </x:c>
      <x:c r="R16" s="37" t="n">
        <x:f>COUNTIFS('Task outcomes'!$D$3:$D$102,$A16)</x:f>
        <x:v>1</x:v>
      </x:c>
      <x:c r="S16" s="39" t="n">
        <x:f>Q16/R16</x:f>
        <x:v>0</x:v>
      </x:c>
    </x:row>
    <x:row r="17" ht="22.5" customHeight="1">
      <x:c r="A17" s="26" t="str">
        <x:v>SuppQA</x:v>
      </x:c>
      <x:c r="B17" s="37" t="n">
        <x:f>COUNTIFS('Task outcomes'!$D$3:$D$102,$A17,'Task outcomes'!$E$3:$E$102,"Pass")</x:f>
        <x:v>1</x:v>
      </x:c>
      <x:c r="C17" s="37" t="n">
        <x:f>COUNTIFS('Task outcomes'!$D$3:$D$102,$A17)</x:f>
        <x:v>1</x:v>
      </x:c>
      <x:c r="D17" s="38" t="n">
        <x:f>B17/C17</x:f>
        <x:v>1</x:v>
      </x:c>
      <x:c r="E17" s="37" t="n">
        <x:f>COUNTIFS('Task outcomes'!$D$3:$D$102,$A17,'Task outcomes'!$F$3:$F$102,"Pass")</x:f>
        <x:v>0</x:v>
      </x:c>
      <x:c r="F17" s="37" t="n">
        <x:f>COUNTIFS('Task outcomes'!$D$3:$D$102,$A17)</x:f>
        <x:v>1</x:v>
      </x:c>
      <x:c r="G17" s="38" t="n">
        <x:f>E17/F17</x:f>
        <x:v>0</x:v>
      </x:c>
      <x:c r="H17" s="37" t="n">
        <x:f>COUNTIFS('Task outcomes'!$D$3:$D$102,$A17,'Task outcomes'!$G$3:$G$102,"Pass")</x:f>
        <x:v>1</x:v>
      </x:c>
      <x:c r="I17" s="37" t="n">
        <x:f>COUNTIFS('Task outcomes'!$D$3:$D$102,$A17)</x:f>
        <x:v>1</x:v>
      </x:c>
      <x:c r="J17" s="38" t="n">
        <x:f>H17/I17</x:f>
        <x:v>1</x:v>
      </x:c>
      <x:c r="K17" s="37" t="n">
        <x:f>COUNTIFS('Task outcomes'!$D$3:$D$102,$A17,'Task outcomes'!$H$3:$H$102,"Pass")</x:f>
        <x:v>1</x:v>
      </x:c>
      <x:c r="L17" s="37" t="n">
        <x:f>COUNTIFS('Task outcomes'!$D$3:$D$102,$A17)</x:f>
        <x:v>1</x:v>
      </x:c>
      <x:c r="M17" s="38" t="n">
        <x:f>K17/L17</x:f>
        <x:v>1</x:v>
      </x:c>
      <x:c r="N17" s="37" t="n">
        <x:f>COUNTIFS('Task outcomes'!$D$3:$D$102,$A17,'Task outcomes'!$I$3:$I$102,"Pass")</x:f>
        <x:v>1</x:v>
      </x:c>
      <x:c r="O17" s="37" t="n">
        <x:f>COUNTIFS('Task outcomes'!$D$3:$D$102,$A17)</x:f>
        <x:v>1</x:v>
      </x:c>
      <x:c r="P17" s="38" t="n">
        <x:f>N17/O17</x:f>
        <x:v>1</x:v>
      </x:c>
      <x:c r="Q17" s="37" t="n">
        <x:f>COUNTIFS('Task outcomes'!$D$3:$D$102,$A17,'Task outcomes'!$J$3:$J$102,"Pass")</x:f>
        <x:v>1</x:v>
      </x:c>
      <x:c r="R17" s="37" t="n">
        <x:f>COUNTIFS('Task outcomes'!$D$3:$D$102,$A17)</x:f>
        <x:v>1</x:v>
      </x:c>
      <x:c r="S17" s="39" t="n">
        <x:f>Q17/R17</x:f>
        <x:v>1</x:v>
      </x:c>
    </x:row>
    <x:row r="18" ht="22.5" customHeight="1">
      <x:c r="A18" s="26" t="str">
        <x:v>TableQA</x:v>
      </x:c>
      <x:c r="B18" s="37" t="n">
        <x:f>COUNTIFS('Task outcomes'!$D$3:$D$102,$A18,'Task outcomes'!$E$3:$E$102,"Pass")</x:f>
        <x:v>0</x:v>
      </x:c>
      <x:c r="C18" s="37" t="n">
        <x:f>COUNTIFS('Task outcomes'!$D$3:$D$102,$A18)</x:f>
        <x:v>2</x:v>
      </x:c>
      <x:c r="D18" s="38" t="n">
        <x:f>B18/C18</x:f>
        <x:v>0</x:v>
      </x:c>
      <x:c r="E18" s="37" t="n">
        <x:f>COUNTIFS('Task outcomes'!$D$3:$D$102,$A18,'Task outcomes'!$F$3:$F$102,"Pass")</x:f>
        <x:v>0</x:v>
      </x:c>
      <x:c r="F18" s="37" t="n">
        <x:f>COUNTIFS('Task outcomes'!$D$3:$D$102,$A18)</x:f>
        <x:v>2</x:v>
      </x:c>
      <x:c r="G18" s="38" t="n">
        <x:f>E18/F18</x:f>
        <x:v>0</x:v>
      </x:c>
      <x:c r="H18" s="37" t="n">
        <x:f>COUNTIFS('Task outcomes'!$D$3:$D$102,$A18,'Task outcomes'!$G$3:$G$102,"Pass")</x:f>
        <x:v>0</x:v>
      </x:c>
      <x:c r="I18" s="37" t="n">
        <x:f>COUNTIFS('Task outcomes'!$D$3:$D$102,$A18)</x:f>
        <x:v>2</x:v>
      </x:c>
      <x:c r="J18" s="38" t="n">
        <x:f>H18/I18</x:f>
        <x:v>0</x:v>
      </x:c>
      <x:c r="K18" s="37" t="n">
        <x:f>COUNTIFS('Task outcomes'!$D$3:$D$102,$A18,'Task outcomes'!$H$3:$H$102,"Pass")</x:f>
        <x:v>2</x:v>
      </x:c>
      <x:c r="L18" s="37" t="n">
        <x:f>COUNTIFS('Task outcomes'!$D$3:$D$102,$A18)</x:f>
        <x:v>2</x:v>
      </x:c>
      <x:c r="M18" s="38" t="n">
        <x:f>K18/L18</x:f>
        <x:v>1</x:v>
      </x:c>
      <x:c r="N18" s="37" t="n">
        <x:f>COUNTIFS('Task outcomes'!$D$3:$D$102,$A18,'Task outcomes'!$I$3:$I$102,"Pass")</x:f>
        <x:v>1</x:v>
      </x:c>
      <x:c r="O18" s="37" t="n">
        <x:f>COUNTIFS('Task outcomes'!$D$3:$D$102,$A18)</x:f>
        <x:v>2</x:v>
      </x:c>
      <x:c r="P18" s="38" t="n">
        <x:f>N18/O18</x:f>
        <x:v>0.5</x:v>
      </x:c>
      <x:c r="Q18" s="37" t="n">
        <x:f>COUNTIFS('Task outcomes'!$D$3:$D$102,$A18,'Task outcomes'!$J$3:$J$102,"Pass")</x:f>
        <x:v>2</x:v>
      </x:c>
      <x:c r="R18" s="37" t="n">
        <x:f>COUNTIFS('Task outcomes'!$D$3:$D$102,$A18)</x:f>
        <x:v>2</x:v>
      </x:c>
      <x:c r="S18" s="39" t="n">
        <x:f>Q18/R18</x:f>
        <x:v>1</x:v>
      </x:c>
    </x:row>
    <x:row r="19" ht="22.5" customHeight="1">
      <x:c r="A19" s="26" t="str">
        <x:v>Data Operations</x:v>
      </x:c>
      <x:c r="B19" s="37" t="n">
        <x:f>COUNTIFS('Task outcomes'!$D$3:$D$102,$A19,'Task outcomes'!$E$3:$E$102,"Pass")</x:f>
        <x:v>2</x:v>
      </x:c>
      <x:c r="C19" s="37" t="n">
        <x:f>COUNTIFS('Task outcomes'!$D$3:$D$102,$A19)</x:f>
        <x:v>4</x:v>
      </x:c>
      <x:c r="D19" s="38" t="n">
        <x:f>B19/C19</x:f>
        <x:v>0.5</x:v>
      </x:c>
      <x:c r="E19" s="37" t="n">
        <x:f>COUNTIFS('Task outcomes'!$D$3:$D$102,$A19,'Task outcomes'!$F$3:$F$102,"Pass")</x:f>
        <x:v>1</x:v>
      </x:c>
      <x:c r="F19" s="37" t="n">
        <x:f>COUNTIFS('Task outcomes'!$D$3:$D$102,$A19)</x:f>
        <x:v>4</x:v>
      </x:c>
      <x:c r="G19" s="38" t="n">
        <x:f>E19/F19</x:f>
        <x:v>0.25</x:v>
      </x:c>
      <x:c r="H19" s="37" t="n">
        <x:f>COUNTIFS('Task outcomes'!$D$3:$D$102,$A19,'Task outcomes'!$G$3:$G$102,"Pass")</x:f>
        <x:v>3</x:v>
      </x:c>
      <x:c r="I19" s="37" t="n">
        <x:f>COUNTIFS('Task outcomes'!$D$3:$D$102,$A19)</x:f>
        <x:v>4</x:v>
      </x:c>
      <x:c r="J19" s="38" t="n">
        <x:f>H19/I19</x:f>
        <x:v>0.75</x:v>
      </x:c>
      <x:c r="K19" s="37" t="n">
        <x:f>COUNTIFS('Task outcomes'!$D$3:$D$102,$A19,'Task outcomes'!$H$3:$H$102,"Pass")</x:f>
        <x:v>3</x:v>
      </x:c>
      <x:c r="L19" s="37" t="n">
        <x:f>COUNTIFS('Task outcomes'!$D$3:$D$102,$A19)</x:f>
        <x:v>4</x:v>
      </x:c>
      <x:c r="M19" s="38" t="n">
        <x:f>K19/L19</x:f>
        <x:v>0.75</x:v>
      </x:c>
      <x:c r="N19" s="37" t="n">
        <x:f>COUNTIFS('Task outcomes'!$D$3:$D$102,$A19,'Task outcomes'!$I$3:$I$102,"Pass")</x:f>
        <x:v>4</x:v>
      </x:c>
      <x:c r="O19" s="37" t="n">
        <x:f>COUNTIFS('Task outcomes'!$D$3:$D$102,$A19)</x:f>
        <x:v>4</x:v>
      </x:c>
      <x:c r="P19" s="38" t="n">
        <x:f>N19/O19</x:f>
        <x:v>1</x:v>
      </x:c>
      <x:c r="Q19" s="37" t="n">
        <x:f>COUNTIFS('Task outcomes'!$D$3:$D$102,$A19,'Task outcomes'!$J$3:$J$102,"Pass")</x:f>
        <x:v>2</x:v>
      </x:c>
      <x:c r="R19" s="37" t="n">
        <x:f>COUNTIFS('Task outcomes'!$D$3:$D$102,$A19)</x:f>
        <x:v>4</x:v>
      </x:c>
      <x:c r="S19" s="39" t="n">
        <x:f>Q19/R19</x:f>
        <x:v>0.5</x:v>
      </x:c>
    </x:row>
    <x:row r="20" ht="22.5" customHeight="1">
      <x:c r="A20" s="51" t="str">
        <x:v>Overall (B1)</x:v>
      </x:c>
      <x:c r="B20" s="52" t="n">
        <x:f>SUM(B4:B19)</x:f>
        <x:v>34</x:v>
      </x:c>
      <x:c r="C20" s="52" t="n">
        <x:f>SUM(C4:C19)</x:f>
        <x:v>100</x:v>
      </x:c>
      <x:c r="D20" s="53" t="n">
        <x:f>B20/C20</x:f>
        <x:v>0.34</x:v>
      </x:c>
      <x:c r="E20" s="52" t="n">
        <x:f>SUM(E4:E19)</x:f>
        <x:v>5</x:v>
      </x:c>
      <x:c r="F20" s="52" t="n">
        <x:f>SUM(F4:F19)</x:f>
        <x:v>100</x:v>
      </x:c>
      <x:c r="G20" s="53" t="n">
        <x:f>E20/F20</x:f>
        <x:v>0.05</x:v>
      </x:c>
      <x:c r="H20" s="52" t="n">
        <x:f>SUM(H4:H19)</x:f>
        <x:v>78</x:v>
      </x:c>
      <x:c r="I20" s="52" t="n">
        <x:f>SUM(I4:I19)</x:f>
        <x:v>100</x:v>
      </x:c>
      <x:c r="J20" s="53" t="n">
        <x:f>H20/I20</x:f>
        <x:v>0.78</x:v>
      </x:c>
      <x:c r="K20" s="52" t="n">
        <x:f>SUM(K4:K19)</x:f>
        <x:v>76</x:v>
      </x:c>
      <x:c r="L20" s="52" t="n">
        <x:f>SUM(L4:L19)</x:f>
        <x:v>100</x:v>
      </x:c>
      <x:c r="M20" s="53" t="n">
        <x:f>K20/L20</x:f>
        <x:v>0.76</x:v>
      </x:c>
      <x:c r="N20" s="52" t="n">
        <x:f>SUM(N4:N19)</x:f>
        <x:v>71</x:v>
      </x:c>
      <x:c r="O20" s="52" t="n">
        <x:f>SUM(O4:O19)</x:f>
        <x:v>100</x:v>
      </x:c>
      <x:c r="P20" s="53" t="n">
        <x:f>N20/O20</x:f>
        <x:v>0.71</x:v>
      </x:c>
      <x:c r="Q20" s="52" t="n">
        <x:f>SUM(Q4:Q19)</x:f>
        <x:v>73</x:v>
      </x:c>
      <x:c r="R20" s="52" t="n">
        <x:f>SUM(R4:R19)</x:f>
        <x:v>100</x:v>
      </x:c>
      <x:c r="S20" s="53" t="n">
        <x:f>Q20/R20</x:f>
        <x:v>0.73</x:v>
      </x:c>
    </x:row>
    <x:row r="21" ht="36" customHeight="1">
      <x:c r="A21" s="47" t="str">
        <x:v>Subject macro-average (B2)</x:v>
      </x:c>
      <x:c r="B21" s="48"/>
      <x:c r="C21" s="48"/>
      <x:c r="D21" s="49" t="n">
        <x:f>AVERAGE(D4:D19)</x:f>
        <x:v>0.3946844362745098</x:v>
      </x:c>
      <x:c r="E21" s="48"/>
      <x:c r="F21" s="48"/>
      <x:c r="G21" s="49" t="n">
        <x:f>AVERAGE(G4:G19)</x:f>
        <x:v>0.1130514705882353</x:v>
      </x:c>
      <x:c r="H21" s="48"/>
      <x:c r="I21" s="48"/>
      <x:c r="J21" s="49" t="n">
        <x:f>AVERAGE(J4:J19)</x:f>
        <x:v>0.7572508169934641</x:v>
      </x:c>
      <x:c r="K21" s="48"/>
      <x:c r="L21" s="48"/>
      <x:c r="M21" s="49" t="n">
        <x:f>AVERAGE(M4:M19)</x:f>
        <x:v>0.7648335375816994</x:v>
      </x:c>
      <x:c r="N21" s="48"/>
      <x:c r="O21" s="48"/>
      <x:c r="P21" s="49" t="n">
        <x:f>AVERAGE(P4:P19)</x:f>
        <x:v>0.738140829248366</x:v>
      </x:c>
      <x:c r="Q21" s="48"/>
      <x:c r="R21" s="48"/>
      <x:c r="S21" s="50" t="n">
        <x:f>AVERAGE(S4:S19)</x:f>
        <x:v>0.7185968137254902</x:v>
      </x:c>
    </x:row>
    <x:row r="22" ht="22.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 ht="25.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 ht="25.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 ht="25.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</x:sheetData>
  <x:mergeCells>
    <x:mergeCell ref="A1:S1"/>
    <x:mergeCell ref="A2:A3"/>
    <x:mergeCell ref="B2:D2"/>
    <x:mergeCell ref="E2:G2"/>
    <x:mergeCell ref="H2:J2"/>
    <x:mergeCell ref="K2:M2"/>
    <x:mergeCell ref="N2:P2"/>
    <x:mergeCell ref="Q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hidden="0" customWidth="1"/>
    <x:col min="2" max="2" width="48.88999938964844" hidden="0" customWidth="1"/>
    <x:col min="3" max="3" width="16.670000076293945" hidden="0" customWidth="1"/>
    <x:col min="4" max="4" width="20.440000534057617" hidden="0" customWidth="1"/>
    <x:col min="5" max="5" width="17.110000610351562" hidden="0" customWidth="1"/>
    <x:col min="6" max="6" width="17.110000610351562" hidden="0" customWidth="1"/>
    <x:col min="7" max="7" width="17.110000610351562" hidden="0" customWidth="1"/>
    <x:col min="8" max="8" width="17.110000610351562" hidden="0" customWidth="1"/>
    <x:col min="9" max="9" width="17.110000610351562" hidden="0" customWidth="1"/>
    <x:col min="10" max="10" width="17.110000610351562" hidden="0" customWidth="1"/>
    <x:col min="11" max="11" width="41.66999816894531" hidden="0" customWidth="1"/>
  </x:cols>
  <x:sheetData>
    <x:row r="1" ht="33" customHeight="1">
      <x:c r="A1" s="6" t="str">
        <x:v>Table S6. Task-level outcomes for the shared 100-task Baseline pilot.</x:v>
      </x:c>
      <x:c r="B1" s="6"/>
      <x:c r="C1" s="6"/>
      <x:c r="D1" s="6"/>
      <x:c r="E1" s="6"/>
      <x:c r="F1" s="6"/>
      <x:c r="G1" s="6"/>
      <x:c r="H1" s="6"/>
      <x:c r="I1" s="6"/>
      <x:c r="J1" s="6"/>
      <x:c r="K1"/>
    </x:row>
    <x:row r="2" ht="36" customHeight="1">
      <x:c r="A2" s="59" t="str">
        <x:v>Task ID</x:v>
      </x:c>
      <x:c r="B2" s="60" t="str">
        <x:v>Original source task ID</x:v>
      </x:c>
      <x:c r="C2" s="60" t="str">
        <x:v>Source benchmark</x:v>
      </x:c>
      <x:c r="D2" s="60" t="str">
        <x:v>Subject</x:v>
      </x:c>
      <x:c r="E2" s="60" t="str">
        <x:v>AutoBA</x:v>
      </x:c>
      <x:c r="F2" s="60" t="str">
        <x:v>BioMaster</x:v>
      </x:c>
      <x:c r="G2" s="60" t="str">
        <x:v>Biomni</x:v>
      </x:c>
      <x:c r="H2" s="60" t="str">
        <x:v>BixBench-Agent</x:v>
      </x:c>
      <x:c r="I2" s="60" t="str">
        <x:v>STELLA</x:v>
      </x:c>
      <x:c r="J2" s="60" t="str">
        <x:v>BioMedAgent</x:v>
      </x:c>
      <x:c r="K2"/>
    </x:row>
    <x:row r="3" ht="33" customHeight="1">
      <x:c r="A3" s="22" t="str">
        <x:v>BL-0576</x:v>
      </x:c>
      <x:c r="B3" s="62" t="str">
        <x:v>BioDSBench-1</x:v>
      </x:c>
      <x:c r="C3" s="62" t="str">
        <x:v>BioDSBench</x:v>
      </x:c>
      <x:c r="D3" s="62" t="str">
        <x:v>Data Operations</x:v>
      </x:c>
      <x:c r="E3" s="62" t="str">
        <x:v>Pass</x:v>
      </x:c>
      <x:c r="F3" s="62" t="str">
        <x:v>Pass</x:v>
      </x:c>
      <x:c r="G3" s="62" t="str">
        <x:v>Pass</x:v>
      </x:c>
      <x:c r="H3" s="62" t="str">
        <x:v>Pass</x:v>
      </x:c>
      <x:c r="I3" s="62" t="str">
        <x:v>Pass</x:v>
      </x:c>
      <x:c r="J3" s="62" t="str">
        <x:v>Pass</x:v>
      </x:c>
      <x:c r="K3"/>
    </x:row>
    <x:row r="4" ht="33" customHeight="1">
      <x:c r="A4" s="26" t="str">
        <x:v>BL-0597</x:v>
      </x:c>
      <x:c r="B4" s="64" t="str">
        <x:v>BioDSBench-25</x:v>
      </x:c>
      <x:c r="C4" s="64" t="str">
        <x:v>BioDSBench</x:v>
      </x:c>
      <x:c r="D4" s="64" t="str">
        <x:v>Data Operations</x:v>
      </x:c>
      <x:c r="E4" s="64" t="str">
        <x:v>Pass</x:v>
      </x:c>
      <x:c r="F4" s="64" t="str">
        <x:v>Fail</x:v>
      </x:c>
      <x:c r="G4" s="64" t="str">
        <x:v>Pass</x:v>
      </x:c>
      <x:c r="H4" s="64" t="str">
        <x:v>Pass</x:v>
      </x:c>
      <x:c r="I4" s="64" t="str">
        <x:v>Pass</x:v>
      </x:c>
      <x:c r="J4" s="64" t="str">
        <x:v>Pass</x:v>
      </x:c>
      <x:c r="K4"/>
    </x:row>
    <x:row r="5" ht="33" customHeight="1">
      <x:c r="A5" s="26" t="str">
        <x:v>BL-0612</x:v>
      </x:c>
      <x:c r="B5" s="64" t="str">
        <x:v>BioDSBench-54</x:v>
      </x:c>
      <x:c r="C5" s="64" t="str">
        <x:v>BioDSBench</x:v>
      </x:c>
      <x:c r="D5" s="64" t="str">
        <x:v>Descriptive statistics</x:v>
      </x:c>
      <x:c r="E5" s="64" t="str">
        <x:v>Pass</x:v>
      </x:c>
      <x:c r="F5" s="64" t="str">
        <x:v>Fail</x:v>
      </x:c>
      <x:c r="G5" s="64" t="str">
        <x:v>Pass</x:v>
      </x:c>
      <x:c r="H5" s="64" t="str">
        <x:v>Pass</x:v>
      </x:c>
      <x:c r="I5" s="64" t="str">
        <x:v>Pass</x:v>
      </x:c>
      <x:c r="J5" s="64" t="str">
        <x:v>Pass</x:v>
      </x:c>
      <x:c r="K5"/>
    </x:row>
    <x:row r="6" ht="33" customHeight="1">
      <x:c r="A6" s="26" t="str">
        <x:v>BL-0643</x:v>
      </x:c>
      <x:c r="B6" s="64" t="str">
        <x:v>BioDSBench-98</x:v>
      </x:c>
      <x:c r="C6" s="64" t="str">
        <x:v>BioDSBench</x:v>
      </x:c>
      <x:c r="D6" s="64" t="str">
        <x:v>Data Operations</x:v>
      </x:c>
      <x:c r="E6" s="64" t="str">
        <x:v>Fail</x:v>
      </x:c>
      <x:c r="F6" s="64" t="str">
        <x:v>Fail</x:v>
      </x:c>
      <x:c r="G6" s="64" t="str">
        <x:v>Fail</x:v>
      </x:c>
      <x:c r="H6" s="64" t="str">
        <x:v>Fail</x:v>
      </x:c>
      <x:c r="I6" s="64" t="str">
        <x:v>Pass</x:v>
      </x:c>
      <x:c r="J6" s="64" t="str">
        <x:v>Fail</x:v>
      </x:c>
      <x:c r="K6"/>
    </x:row>
    <x:row r="7" ht="33" customHeight="1">
      <x:c r="A7" s="26" t="str">
        <x:v>BL-0664</x:v>
      </x:c>
      <x:c r="B7" s="64" t="str">
        <x:v>BioDSBench-149</x:v>
      </x:c>
      <x:c r="C7" s="64" t="str">
        <x:v>BioDSBench</x:v>
      </x:c>
      <x:c r="D7" s="64" t="str">
        <x:v>Data Operations</x:v>
      </x:c>
      <x:c r="E7" s="64" t="str">
        <x:v>Fail</x:v>
      </x:c>
      <x:c r="F7" s="64" t="str">
        <x:v>Fail</x:v>
      </x:c>
      <x:c r="G7" s="64" t="str">
        <x:v>Pass</x:v>
      </x:c>
      <x:c r="H7" s="64" t="str">
        <x:v>Pass</x:v>
      </x:c>
      <x:c r="I7" s="64" t="str">
        <x:v>Pass</x:v>
      </x:c>
      <x:c r="J7" s="64" t="str">
        <x:v>Fail</x:v>
      </x:c>
      <x:c r="K7"/>
    </x:row>
    <x:row r="8" ht="33" customHeight="1">
      <x:c r="A8" s="26" t="str">
        <x:v>BL-0261</x:v>
      </x:c>
      <x:c r="B8" s="64" t="str">
        <x:v>bixbench_bix-13-q1</x:v>
      </x:c>
      <x:c r="C8" s="64" t="str">
        <x:v>BixBench</x:v>
      </x:c>
      <x:c r="D8" s="64" t="str">
        <x:v>Descriptive statistics</x:v>
      </x:c>
      <x:c r="E8" s="64" t="str">
        <x:v>Fail</x:v>
      </x:c>
      <x:c r="F8" s="64" t="str">
        <x:v>Fail</x:v>
      </x:c>
      <x:c r="G8" s="64" t="str">
        <x:v>Fail</x:v>
      </x:c>
      <x:c r="H8" s="64" t="str">
        <x:v>Pass</x:v>
      </x:c>
      <x:c r="I8" s="64" t="str">
        <x:v>Pass</x:v>
      </x:c>
      <x:c r="J8" s="64" t="str">
        <x:v>Fail</x:v>
      </x:c>
      <x:c r="K8"/>
    </x:row>
    <x:row r="9" ht="33" customHeight="1">
      <x:c r="A9" s="26" t="str">
        <x:v>BL-0265</x:v>
      </x:c>
      <x:c r="B9" s="64" t="str">
        <x:v>bixbench_bix-14-q1</x:v>
      </x:c>
      <x:c r="C9" s="64" t="str">
        <x:v>BixBench</x:v>
      </x:c>
      <x:c r="D9" s="64" t="str">
        <x:v>Descriptive statistics</x:v>
      </x:c>
      <x:c r="E9" s="64" t="str">
        <x:v>Fail</x:v>
      </x:c>
      <x:c r="F9" s="64" t="str">
        <x:v>Fail</x:v>
      </x:c>
      <x:c r="G9" s="64" t="str">
        <x:v>Fail</x:v>
      </x:c>
      <x:c r="H9" s="64" t="str">
        <x:v>Fail</x:v>
      </x:c>
      <x:c r="I9" s="64" t="str">
        <x:v>Fail</x:v>
      </x:c>
      <x:c r="J9" s="64" t="str">
        <x:v>Pass</x:v>
      </x:c>
      <x:c r="K9"/>
    </x:row>
    <x:row r="10" ht="33" customHeight="1">
      <x:c r="A10" s="26" t="str">
        <x:v>BL-0363</x:v>
      </x:c>
      <x:c r="B10" s="64" t="str">
        <x:v>bixbench_bix-42-q1</x:v>
      </x:c>
      <x:c r="C10" s="64" t="str">
        <x:v>BixBench</x:v>
      </x:c>
      <x:c r="D10" s="64" t="str">
        <x:v>Descriptive statistics</x:v>
      </x:c>
      <x:c r="E10" s="64" t="str">
        <x:v>Fail</x:v>
      </x:c>
      <x:c r="F10" s="64" t="str">
        <x:v>Fail</x:v>
      </x:c>
      <x:c r="G10" s="64" t="str">
        <x:v>Pass</x:v>
      </x:c>
      <x:c r="H10" s="64" t="str">
        <x:v>Pass</x:v>
      </x:c>
      <x:c r="I10" s="64" t="str">
        <x:v>Pass</x:v>
      </x:c>
      <x:c r="J10" s="64" t="str">
        <x:v>Pass</x:v>
      </x:c>
      <x:c r="K10"/>
    </x:row>
    <x:row r="11" ht="33" customHeight="1">
      <x:c r="A11" s="26" t="str">
        <x:v>BL-0390</x:v>
      </x:c>
      <x:c r="B11" s="64" t="str">
        <x:v>bixbench_bix-52-q1</x:v>
      </x:c>
      <x:c r="C11" s="64" t="str">
        <x:v>BixBench</x:v>
      </x:c>
      <x:c r="D11" s="64" t="str">
        <x:v>Descriptive statistics</x:v>
      </x:c>
      <x:c r="E11" s="64" t="str">
        <x:v>Fail</x:v>
      </x:c>
      <x:c r="F11" s="64" t="str">
        <x:v>Fail</x:v>
      </x:c>
      <x:c r="G11" s="64" t="str">
        <x:v>Fail</x:v>
      </x:c>
      <x:c r="H11" s="64" t="str">
        <x:v>Fail</x:v>
      </x:c>
      <x:c r="I11" s="64" t="str">
        <x:v>Fail</x:v>
      </x:c>
      <x:c r="J11" s="64" t="str">
        <x:v>Pass</x:v>
      </x:c>
      <x:c r="K11"/>
    </x:row>
    <x:row r="12" ht="33" customHeight="1">
      <x:c r="A12" s="26" t="str">
        <x:v>BL-0424</x:v>
      </x:c>
      <x:c r="B12" s="64" t="str">
        <x:v>bixbench_bix-8-q1</x:v>
      </x:c>
      <x:c r="C12" s="64" t="str">
        <x:v>BixBench</x:v>
      </x:c>
      <x:c r="D12" s="64" t="str">
        <x:v>Descriptive statistics</x:v>
      </x:c>
      <x:c r="E12" s="64" t="str">
        <x:v>Fail</x:v>
      </x:c>
      <x:c r="F12" s="64" t="str">
        <x:v>Fail</x:v>
      </x:c>
      <x:c r="G12" s="64" t="str">
        <x:v>Pass</x:v>
      </x:c>
      <x:c r="H12" s="64" t="str">
        <x:v>Pass</x:v>
      </x:c>
      <x:c r="I12" s="64" t="str">
        <x:v>Pass</x:v>
      </x:c>
      <x:c r="J12" s="64" t="str">
        <x:v>Pass</x:v>
      </x:c>
      <x:c r="K12"/>
    </x:row>
    <x:row r="13" ht="33" customHeight="1">
      <x:c r="A13" s="26" t="str">
        <x:v>BL-0579</x:v>
      </x:c>
      <x:c r="B13" s="64" t="str">
        <x:v>BioDSBench-4</x:v>
      </x:c>
      <x:c r="C13" s="64" t="str">
        <x:v>BioDSBench</x:v>
      </x:c>
      <x:c r="D13" s="64" t="str">
        <x:v>Descriptive statistics</x:v>
      </x:c>
      <x:c r="E13" s="64" t="str">
        <x:v>Pass</x:v>
      </x:c>
      <x:c r="F13" s="64" t="str">
        <x:v>Pass</x:v>
      </x:c>
      <x:c r="G13" s="64" t="str">
        <x:v>Pass</x:v>
      </x:c>
      <x:c r="H13" s="64" t="str">
        <x:v>Pass</x:v>
      </x:c>
      <x:c r="I13" s="64" t="str">
        <x:v>Pass</x:v>
      </x:c>
      <x:c r="J13" s="64" t="str">
        <x:v>Pass</x:v>
      </x:c>
      <x:c r="K13"/>
    </x:row>
    <x:row r="14" ht="33" customHeight="1">
      <x:c r="A14" s="26" t="str">
        <x:v>BL-0580</x:v>
      </x:c>
      <x:c r="B14" s="64" t="str">
        <x:v>BioDSBench-5</x:v>
      </x:c>
      <x:c r="C14" s="64" t="str">
        <x:v>BioDSBench</x:v>
      </x:c>
      <x:c r="D14" s="64" t="str">
        <x:v>Descriptive statistics</x:v>
      </x:c>
      <x:c r="E14" s="64" t="str">
        <x:v>Fail</x:v>
      </x:c>
      <x:c r="F14" s="64" t="str">
        <x:v>Fail</x:v>
      </x:c>
      <x:c r="G14" s="64" t="str">
        <x:v>Pass</x:v>
      </x:c>
      <x:c r="H14" s="64" t="str">
        <x:v>Pass</x:v>
      </x:c>
      <x:c r="I14" s="64" t="str">
        <x:v>Pass</x:v>
      </x:c>
      <x:c r="J14" s="64" t="str">
        <x:v>Pass</x:v>
      </x:c>
      <x:c r="K14"/>
    </x:row>
    <x:row r="15" ht="33" customHeight="1">
      <x:c r="A15" s="26" t="str">
        <x:v>BL-0589</x:v>
      </x:c>
      <x:c r="B15" s="64" t="str">
        <x:v>BioDSBench-16</x:v>
      </x:c>
      <x:c r="C15" s="64" t="str">
        <x:v>BioDSBench</x:v>
      </x:c>
      <x:c r="D15" s="64" t="str">
        <x:v>Inferential statistics</x:v>
      </x:c>
      <x:c r="E15" s="64" t="str">
        <x:v>Fail</x:v>
      </x:c>
      <x:c r="F15" s="64" t="str">
        <x:v>Fail</x:v>
      </x:c>
      <x:c r="G15" s="64" t="str">
        <x:v>Pass</x:v>
      </x:c>
      <x:c r="H15" s="64" t="str">
        <x:v>Pass</x:v>
      </x:c>
      <x:c r="I15" s="64" t="str">
        <x:v>Pass</x:v>
      </x:c>
      <x:c r="J15" s="64" t="str">
        <x:v>Pass</x:v>
      </x:c>
      <x:c r="K15"/>
    </x:row>
    <x:row r="16" ht="33" customHeight="1">
      <x:c r="A16" s="26" t="str">
        <x:v>BL-0593</x:v>
      </x:c>
      <x:c r="B16" s="64" t="str">
        <x:v>BioDSBench-21</x:v>
      </x:c>
      <x:c r="C16" s="64" t="str">
        <x:v>BioDSBench</x:v>
      </x:c>
      <x:c r="D16" s="64" t="str">
        <x:v>Descriptive statistics</x:v>
      </x:c>
      <x:c r="E16" s="64" t="str">
        <x:v>Pass</x:v>
      </x:c>
      <x:c r="F16" s="64" t="str">
        <x:v>Fail</x:v>
      </x:c>
      <x:c r="G16" s="64" t="str">
        <x:v>Pass</x:v>
      </x:c>
      <x:c r="H16" s="64" t="str">
        <x:v>Pass</x:v>
      </x:c>
      <x:c r="I16" s="64" t="str">
        <x:v>Pass</x:v>
      </x:c>
      <x:c r="J16" s="64" t="str">
        <x:v>Pass</x:v>
      </x:c>
      <x:c r="K16"/>
    </x:row>
    <x:row r="17" ht="33" customHeight="1">
      <x:c r="A17" s="26" t="str">
        <x:v>BL-0602</x:v>
      </x:c>
      <x:c r="B17" s="64" t="str">
        <x:v>BioDSBench-36</x:v>
      </x:c>
      <x:c r="C17" s="64" t="str">
        <x:v>BioDSBench</x:v>
      </x:c>
      <x:c r="D17" s="64" t="str">
        <x:v>Descriptive statistics</x:v>
      </x:c>
      <x:c r="E17" s="64" t="str">
        <x:v>Pass</x:v>
      </x:c>
      <x:c r="F17" s="64" t="str">
        <x:v>Fail</x:v>
      </x:c>
      <x:c r="G17" s="64" t="str">
        <x:v>Pass</x:v>
      </x:c>
      <x:c r="H17" s="64" t="str">
        <x:v>Pass</x:v>
      </x:c>
      <x:c r="I17" s="64" t="str">
        <x:v>Pass</x:v>
      </x:c>
      <x:c r="J17" s="64" t="str">
        <x:v>Pass</x:v>
      </x:c>
      <x:c r="K17"/>
    </x:row>
    <x:row r="18" ht="33" customHeight="1">
      <x:c r="A18" s="26" t="str">
        <x:v>BL-0116</x:v>
      </x:c>
      <x:c r="B18" s="64" t="str">
        <x:v>biomed_aqa_218</x:v>
      </x:c>
      <x:c r="C18" s="64" t="str">
        <x:v>BioMed-AQA</x:v>
      </x:c>
      <x:c r="D18" s="64" t="str">
        <x:v>Inferential statistics</x:v>
      </x:c>
      <x:c r="E18" s="64" t="str">
        <x:v>Pass</x:v>
      </x:c>
      <x:c r="F18" s="64" t="str">
        <x:v>Fail</x:v>
      </x:c>
      <x:c r="G18" s="64" t="str">
        <x:v>Pass</x:v>
      </x:c>
      <x:c r="H18" s="64" t="str">
        <x:v>Pass</x:v>
      </x:c>
      <x:c r="I18" s="64" t="str">
        <x:v>Pass</x:v>
      </x:c>
      <x:c r="J18" s="64" t="str">
        <x:v>Pass</x:v>
      </x:c>
      <x:c r="K18"/>
    </x:row>
    <x:row r="19" ht="33" customHeight="1">
      <x:c r="A19" s="26" t="str">
        <x:v>BL-0126</x:v>
      </x:c>
      <x:c r="B19" s="64" t="str">
        <x:v>biomed_aqa_229</x:v>
      </x:c>
      <x:c r="C19" s="64" t="str">
        <x:v>BioMed-AQA</x:v>
      </x:c>
      <x:c r="D19" s="64" t="str">
        <x:v>Inferential statistics</x:v>
      </x:c>
      <x:c r="E19" s="64" t="str">
        <x:v>Pass</x:v>
      </x:c>
      <x:c r="F19" s="64" t="str">
        <x:v>Fail</x:v>
      </x:c>
      <x:c r="G19" s="64" t="str">
        <x:v>Pass</x:v>
      </x:c>
      <x:c r="H19" s="64" t="str">
        <x:v>Pass</x:v>
      </x:c>
      <x:c r="I19" s="64" t="str">
        <x:v>Pass</x:v>
      </x:c>
      <x:c r="J19" s="64" t="str">
        <x:v>Pass</x:v>
      </x:c>
      <x:c r="K19"/>
    </x:row>
    <x:row r="20" ht="33" customHeight="1">
      <x:c r="A20" s="26" t="str">
        <x:v>BL-0251</x:v>
      </x:c>
      <x:c r="B20" s="64" t="str">
        <x:v>bixbench_bix-11-q1</x:v>
      </x:c>
      <x:c r="C20" s="64" t="str">
        <x:v>BixBench</x:v>
      </x:c>
      <x:c r="D20" s="64" t="str">
        <x:v>Inferential statistics</x:v>
      </x:c>
      <x:c r="E20" s="64" t="str">
        <x:v>Fail</x:v>
      </x:c>
      <x:c r="F20" s="64" t="str">
        <x:v>Fail</x:v>
      </x:c>
      <x:c r="G20" s="64" t="str">
        <x:v>Pass</x:v>
      </x:c>
      <x:c r="H20" s="64" t="str">
        <x:v>Pass</x:v>
      </x:c>
      <x:c r="I20" s="64" t="str">
        <x:v>Pass</x:v>
      </x:c>
      <x:c r="J20" s="64" t="str">
        <x:v>Pass</x:v>
      </x:c>
      <x:c r="K20"/>
    </x:row>
    <x:row r="21" ht="33" customHeight="1">
      <x:c r="A21" s="26" t="str">
        <x:v>BL-0268</x:v>
      </x:c>
      <x:c r="B21" s="64" t="str">
        <x:v>bixbench_bix-16-q1</x:v>
      </x:c>
      <x:c r="C21" s="64" t="str">
        <x:v>BixBench</x:v>
      </x:c>
      <x:c r="D21" s="64" t="str">
        <x:v>Inferential statistics</x:v>
      </x:c>
      <x:c r="E21" s="64" t="str">
        <x:v>Fail</x:v>
      </x:c>
      <x:c r="F21" s="64" t="str">
        <x:v>Fail</x:v>
      </x:c>
      <x:c r="G21" s="64" t="str">
        <x:v>Fail</x:v>
      </x:c>
      <x:c r="H21" s="64" t="str">
        <x:v>Fail</x:v>
      </x:c>
      <x:c r="I21" s="64" t="str">
        <x:v>Fail</x:v>
      </x:c>
      <x:c r="J21" s="64" t="str">
        <x:v>Pass</x:v>
      </x:c>
      <x:c r="K21"/>
    </x:row>
    <x:row r="22" ht="33" customHeight="1">
      <x:c r="A22" s="26" t="str">
        <x:v>BL-0277</x:v>
      </x:c>
      <x:c r="B22" s="64" t="str">
        <x:v>bixbench_bix-19-q1</x:v>
      </x:c>
      <x:c r="C22" s="64" t="str">
        <x:v>BixBench</x:v>
      </x:c>
      <x:c r="D22" s="64" t="str">
        <x:v>Inferential statistics</x:v>
      </x:c>
      <x:c r="E22" s="64" t="str">
        <x:v>Pass</x:v>
      </x:c>
      <x:c r="F22" s="64" t="str">
        <x:v>Fail</x:v>
      </x:c>
      <x:c r="G22" s="64" t="str">
        <x:v>Pass</x:v>
      </x:c>
      <x:c r="H22" s="64" t="str">
        <x:v>Pass</x:v>
      </x:c>
      <x:c r="I22" s="64" t="str">
        <x:v>Pass</x:v>
      </x:c>
      <x:c r="J22" s="64" t="str">
        <x:v>Pass</x:v>
      </x:c>
      <x:c r="K22"/>
    </x:row>
    <x:row r="23" ht="33" customHeight="1">
      <x:c r="A23" s="26" t="str">
        <x:v>BL-0289</x:v>
      </x:c>
      <x:c r="B23" s="64" t="str">
        <x:v>bixbench_bix-22-q1</x:v>
      </x:c>
      <x:c r="C23" s="64" t="str">
        <x:v>BixBench</x:v>
      </x:c>
      <x:c r="D23" s="64" t="str">
        <x:v>Descriptive statistics</x:v>
      </x:c>
      <x:c r="E23" s="64" t="str">
        <x:v>Fail</x:v>
      </x:c>
      <x:c r="F23" s="64" t="str">
        <x:v>Fail</x:v>
      </x:c>
      <x:c r="G23" s="64" t="str">
        <x:v>Pass</x:v>
      </x:c>
      <x:c r="H23" s="64" t="str">
        <x:v>Pass</x:v>
      </x:c>
      <x:c r="I23" s="64" t="str">
        <x:v>Pass</x:v>
      </x:c>
      <x:c r="J23" s="64" t="str">
        <x:v>Pass</x:v>
      </x:c>
      <x:c r="K23"/>
    </x:row>
    <x:row r="24" ht="33" customHeight="1">
      <x:c r="A24" s="26" t="str">
        <x:v>BL-0338</x:v>
      </x:c>
      <x:c r="B24" s="64" t="str">
        <x:v>bixbench_bix-36-q1</x:v>
      </x:c>
      <x:c r="C24" s="64" t="str">
        <x:v>BixBench</x:v>
      </x:c>
      <x:c r="D24" s="64" t="str">
        <x:v>Inferential statistics</x:v>
      </x:c>
      <x:c r="E24" s="64" t="str">
        <x:v>Fail</x:v>
      </x:c>
      <x:c r="F24" s="64" t="str">
        <x:v>Fail</x:v>
      </x:c>
      <x:c r="G24" s="64" t="str">
        <x:v>Fail</x:v>
      </x:c>
      <x:c r="H24" s="64" t="str">
        <x:v>Fail</x:v>
      </x:c>
      <x:c r="I24" s="64" t="str">
        <x:v>Fail</x:v>
      </x:c>
      <x:c r="J24" s="64" t="str">
        <x:v>Fail</x:v>
      </x:c>
      <x:c r="K24"/>
    </x:row>
    <x:row r="25" ht="33" customHeight="1">
      <x:c r="A25" s="26" t="str">
        <x:v>BL-0582</x:v>
      </x:c>
      <x:c r="B25" s="64" t="str">
        <x:v>BioDSBench-7</x:v>
      </x:c>
      <x:c r="C25" s="64" t="str">
        <x:v>BioDSBench</x:v>
      </x:c>
      <x:c r="D25" s="64" t="str">
        <x:v>Survival</x:v>
      </x:c>
      <x:c r="E25" s="64" t="str">
        <x:v>Fail</x:v>
      </x:c>
      <x:c r="F25" s="64" t="str">
        <x:v>Fail</x:v>
      </x:c>
      <x:c r="G25" s="64" t="str">
        <x:v>Pass</x:v>
      </x:c>
      <x:c r="H25" s="64" t="str">
        <x:v>Pass</x:v>
      </x:c>
      <x:c r="I25" s="64" t="str">
        <x:v>Pass</x:v>
      </x:c>
      <x:c r="J25" s="64" t="str">
        <x:v>Pass</x:v>
      </x:c>
      <x:c r="K25"/>
    </x:row>
    <x:row r="26" ht="33" customHeight="1">
      <x:c r="A26" s="26" t="str">
        <x:v>BL-0591</x:v>
      </x:c>
      <x:c r="B26" s="64" t="str">
        <x:v>BioDSBench-19</x:v>
      </x:c>
      <x:c r="C26" s="64" t="str">
        <x:v>BioDSBench</x:v>
      </x:c>
      <x:c r="D26" s="64" t="str">
        <x:v>Survival</x:v>
      </x:c>
      <x:c r="E26" s="64" t="str">
        <x:v>Fail</x:v>
      </x:c>
      <x:c r="F26" s="64" t="str">
        <x:v>Fail</x:v>
      </x:c>
      <x:c r="G26" s="64" t="str">
        <x:v>Pass</x:v>
      </x:c>
      <x:c r="H26" s="64" t="str">
        <x:v>Pass</x:v>
      </x:c>
      <x:c r="I26" s="64" t="str">
        <x:v>Pass</x:v>
      </x:c>
      <x:c r="J26" s="64" t="str">
        <x:v>Pass</x:v>
      </x:c>
      <x:c r="K26"/>
    </x:row>
    <x:row r="27" ht="33" customHeight="1">
      <x:c r="A27" s="26" t="str">
        <x:v>BL-0595</x:v>
      </x:c>
      <x:c r="B27" s="64" t="str">
        <x:v>BioDSBench-23</x:v>
      </x:c>
      <x:c r="C27" s="64" t="str">
        <x:v>BioDSBench</x:v>
      </x:c>
      <x:c r="D27" s="64" t="str">
        <x:v>Survival</x:v>
      </x:c>
      <x:c r="E27" s="64" t="str">
        <x:v>Fail</x:v>
      </x:c>
      <x:c r="F27" s="64" t="str">
        <x:v>Fail</x:v>
      </x:c>
      <x:c r="G27" s="64" t="str">
        <x:v>Fail</x:v>
      </x:c>
      <x:c r="H27" s="64" t="str">
        <x:v>Fail</x:v>
      </x:c>
      <x:c r="I27" s="64" t="str">
        <x:v>Fail</x:v>
      </x:c>
      <x:c r="J27" s="64" t="str">
        <x:v>Fail</x:v>
      </x:c>
      <x:c r="K27"/>
    </x:row>
    <x:row r="28" ht="33" customHeight="1">
      <x:c r="A28" s="26" t="str">
        <x:v>BL-0609</x:v>
      </x:c>
      <x:c r="B28" s="64" t="str">
        <x:v>BioDSBench-50</x:v>
      </x:c>
      <x:c r="C28" s="64" t="str">
        <x:v>BioDSBench</x:v>
      </x:c>
      <x:c r="D28" s="64" t="str">
        <x:v>Survival</x:v>
      </x:c>
      <x:c r="E28" s="64" t="str">
        <x:v>Fail</x:v>
      </x:c>
      <x:c r="F28" s="64" t="str">
        <x:v>Fail</x:v>
      </x:c>
      <x:c r="G28" s="64" t="str">
        <x:v>Pass</x:v>
      </x:c>
      <x:c r="H28" s="64" t="str">
        <x:v>Pass</x:v>
      </x:c>
      <x:c r="I28" s="64" t="str">
        <x:v>Pass</x:v>
      </x:c>
      <x:c r="J28" s="64" t="str">
        <x:v>Pass</x:v>
      </x:c>
      <x:c r="K28"/>
    </x:row>
    <x:row r="29" ht="33" customHeight="1">
      <x:c r="A29" s="26" t="str">
        <x:v>BL-0633</x:v>
      </x:c>
      <x:c r="B29" s="64" t="str">
        <x:v>BioDSBench-86</x:v>
      </x:c>
      <x:c r="C29" s="64" t="str">
        <x:v>BioDSBench</x:v>
      </x:c>
      <x:c r="D29" s="64" t="str">
        <x:v>Survival</x:v>
      </x:c>
      <x:c r="E29" s="64" t="str">
        <x:v>Fail</x:v>
      </x:c>
      <x:c r="F29" s="64" t="str">
        <x:v>Fail</x:v>
      </x:c>
      <x:c r="G29" s="64" t="str">
        <x:v>Pass</x:v>
      </x:c>
      <x:c r="H29" s="64" t="str">
        <x:v>Fail</x:v>
      </x:c>
      <x:c r="I29" s="64" t="str">
        <x:v>Fail</x:v>
      </x:c>
      <x:c r="J29" s="64" t="str">
        <x:v>Pass</x:v>
      </x:c>
      <x:c r="K29"/>
    </x:row>
    <x:row r="30" ht="33" customHeight="1">
      <x:c r="A30" s="26" t="str">
        <x:v>BL-0634</x:v>
      </x:c>
      <x:c r="B30" s="64" t="str">
        <x:v>BioDSBench-87</x:v>
      </x:c>
      <x:c r="C30" s="64" t="str">
        <x:v>BioDSBench</x:v>
      </x:c>
      <x:c r="D30" s="64" t="str">
        <x:v>Survival</x:v>
      </x:c>
      <x:c r="E30" s="64" t="str">
        <x:v>Pass</x:v>
      </x:c>
      <x:c r="F30" s="64" t="str">
        <x:v>Fail</x:v>
      </x:c>
      <x:c r="G30" s="64" t="str">
        <x:v>Pass</x:v>
      </x:c>
      <x:c r="H30" s="64" t="str">
        <x:v>Pass</x:v>
      </x:c>
      <x:c r="I30" s="64" t="str">
        <x:v>Fail</x:v>
      </x:c>
      <x:c r="J30" s="64" t="str">
        <x:v>Pass</x:v>
      </x:c>
      <x:c r="K30"/>
    </x:row>
    <x:row r="31" ht="33" customHeight="1">
      <x:c r="A31" s="26" t="str">
        <x:v>BL-0639</x:v>
      </x:c>
      <x:c r="B31" s="64" t="str">
        <x:v>BioDSBench-94</x:v>
      </x:c>
      <x:c r="C31" s="64" t="str">
        <x:v>BioDSBench</x:v>
      </x:c>
      <x:c r="D31" s="64" t="str">
        <x:v>Survival</x:v>
      </x:c>
      <x:c r="E31" s="64" t="str">
        <x:v>Fail</x:v>
      </x:c>
      <x:c r="F31" s="64" t="str">
        <x:v>Fail</x:v>
      </x:c>
      <x:c r="G31" s="64" t="str">
        <x:v>Pass</x:v>
      </x:c>
      <x:c r="H31" s="64" t="str">
        <x:v>Pass</x:v>
      </x:c>
      <x:c r="I31" s="64" t="str">
        <x:v>Fail</x:v>
      </x:c>
      <x:c r="J31" s="64" t="str">
        <x:v>Pass</x:v>
      </x:c>
      <x:c r="K31"/>
    </x:row>
    <x:row r="32" ht="33" customHeight="1">
      <x:c r="A32" s="26" t="str">
        <x:v>BL-0645</x:v>
      </x:c>
      <x:c r="B32" s="64" t="str">
        <x:v>BioDSBench-100</x:v>
      </x:c>
      <x:c r="C32" s="64" t="str">
        <x:v>BioDSBench</x:v>
      </x:c>
      <x:c r="D32" s="64" t="str">
        <x:v>Survival</x:v>
      </x:c>
      <x:c r="E32" s="64" t="str">
        <x:v>Fail</x:v>
      </x:c>
      <x:c r="F32" s="64" t="str">
        <x:v>Fail</x:v>
      </x:c>
      <x:c r="G32" s="64" t="str">
        <x:v>Pass</x:v>
      </x:c>
      <x:c r="H32" s="64" t="str">
        <x:v>Pass</x:v>
      </x:c>
      <x:c r="I32" s="64" t="str">
        <x:v>Pass</x:v>
      </x:c>
      <x:c r="J32" s="64" t="str">
        <x:v>Pass</x:v>
      </x:c>
      <x:c r="K32"/>
    </x:row>
    <x:row r="33" ht="33" customHeight="1">
      <x:c r="A33" s="26" t="str">
        <x:v>BL-0173</x:v>
      </x:c>
      <x:c r="B33" s="64" t="str">
        <x:v>biomed_aqa_286</x:v>
      </x:c>
      <x:c r="C33" s="64" t="str">
        <x:v>BioMed-AQA</x:v>
      </x:c>
      <x:c r="D33" s="64" t="str">
        <x:v>Fitting &amp; inference</x:v>
      </x:c>
      <x:c r="E33" s="64" t="str">
        <x:v>Fail</x:v>
      </x:c>
      <x:c r="F33" s="64" t="str">
        <x:v>Fail</x:v>
      </x:c>
      <x:c r="G33" s="64" t="str">
        <x:v>Pass</x:v>
      </x:c>
      <x:c r="H33" s="64" t="str">
        <x:v>Pass</x:v>
      </x:c>
      <x:c r="I33" s="64" t="str">
        <x:v>Pass</x:v>
      </x:c>
      <x:c r="J33" s="64" t="str">
        <x:v>Fail</x:v>
      </x:c>
      <x:c r="K33"/>
    </x:row>
    <x:row r="34" ht="33" customHeight="1">
      <x:c r="A34" s="26" t="str">
        <x:v>BL-0175</x:v>
      </x:c>
      <x:c r="B34" s="64" t="str">
        <x:v>biomed_aqa_289</x:v>
      </x:c>
      <x:c r="C34" s="64" t="str">
        <x:v>BioMed-AQA</x:v>
      </x:c>
      <x:c r="D34" s="64" t="str">
        <x:v>Fitting &amp; inference</x:v>
      </x:c>
      <x:c r="E34" s="64" t="str">
        <x:v>Pass</x:v>
      </x:c>
      <x:c r="F34" s="64" t="str">
        <x:v>Fail</x:v>
      </x:c>
      <x:c r="G34" s="64" t="str">
        <x:v>Pass</x:v>
      </x:c>
      <x:c r="H34" s="64" t="str">
        <x:v>Pass</x:v>
      </x:c>
      <x:c r="I34" s="64" t="str">
        <x:v>Pass</x:v>
      </x:c>
      <x:c r="J34" s="64" t="str">
        <x:v>Pass</x:v>
      </x:c>
      <x:c r="K34"/>
    </x:row>
    <x:row r="35" ht="33" customHeight="1">
      <x:c r="A35" s="26" t="str">
        <x:v>BL-0177</x:v>
      </x:c>
      <x:c r="B35" s="64" t="str">
        <x:v>biomed_aqa_293</x:v>
      </x:c>
      <x:c r="C35" s="64" t="str">
        <x:v>BioMed-AQA</x:v>
      </x:c>
      <x:c r="D35" s="64" t="str">
        <x:v>Fitting &amp; inference</x:v>
      </x:c>
      <x:c r="E35" s="64" t="str">
        <x:v>Pass</x:v>
      </x:c>
      <x:c r="F35" s="64" t="str">
        <x:v>Fail</x:v>
      </x:c>
      <x:c r="G35" s="64" t="str">
        <x:v>Pass</x:v>
      </x:c>
      <x:c r="H35" s="64" t="str">
        <x:v>Pass</x:v>
      </x:c>
      <x:c r="I35" s="64" t="str">
        <x:v>Pass</x:v>
      </x:c>
      <x:c r="J35" s="64" t="str">
        <x:v>Pass</x:v>
      </x:c>
      <x:c r="K35"/>
    </x:row>
    <x:row r="36" ht="33" customHeight="1">
      <x:c r="A36" s="26" t="str">
        <x:v>BL-0179</x:v>
      </x:c>
      <x:c r="B36" s="64" t="str">
        <x:v>biomed_aqa_296</x:v>
      </x:c>
      <x:c r="C36" s="64" t="str">
        <x:v>BioMed-AQA</x:v>
      </x:c>
      <x:c r="D36" s="64" t="str">
        <x:v>Fitting &amp; inference</x:v>
      </x:c>
      <x:c r="E36" s="64" t="str">
        <x:v>Pass</x:v>
      </x:c>
      <x:c r="F36" s="64" t="str">
        <x:v>Fail</x:v>
      </x:c>
      <x:c r="G36" s="64" t="str">
        <x:v>Pass</x:v>
      </x:c>
      <x:c r="H36" s="64" t="str">
        <x:v>Pass</x:v>
      </x:c>
      <x:c r="I36" s="64" t="str">
        <x:v>Pass</x:v>
      </x:c>
      <x:c r="J36" s="64" t="str">
        <x:v>Pass</x:v>
      </x:c>
      <x:c r="K36"/>
    </x:row>
    <x:row r="37" ht="33" customHeight="1">
      <x:c r="A37" s="26" t="str">
        <x:v>BL-0244</x:v>
      </x:c>
      <x:c r="B37" s="64" t="str">
        <x:v>bixbench_bix-10-q1</x:v>
      </x:c>
      <x:c r="C37" s="64" t="str">
        <x:v>BixBench</x:v>
      </x:c>
      <x:c r="D37" s="64" t="str">
        <x:v>Descriptive statistics</x:v>
      </x:c>
      <x:c r="E37" s="64" t="str">
        <x:v>Fail</x:v>
      </x:c>
      <x:c r="F37" s="64" t="str">
        <x:v>Fail</x:v>
      </x:c>
      <x:c r="G37" s="64" t="str">
        <x:v>Fail</x:v>
      </x:c>
      <x:c r="H37" s="64" t="str">
        <x:v>Fail</x:v>
      </x:c>
      <x:c r="I37" s="64" t="str">
        <x:v>Fail</x:v>
      </x:c>
      <x:c r="J37" s="64" t="str">
        <x:v>Fail</x:v>
      </x:c>
      <x:c r="K37"/>
    </x:row>
    <x:row r="38" ht="33" customHeight="1">
      <x:c r="A38" s="26" t="str">
        <x:v>BL-0302</x:v>
      </x:c>
      <x:c r="B38" s="64" t="str">
        <x:v>bixbench_bix-27-q5</x:v>
      </x:c>
      <x:c r="C38" s="64" t="str">
        <x:v>BixBench</x:v>
      </x:c>
      <x:c r="D38" s="64" t="str">
        <x:v>Descriptive statistics</x:v>
      </x:c>
      <x:c r="E38" s="64" t="str">
        <x:v>Fail</x:v>
      </x:c>
      <x:c r="F38" s="64" t="str">
        <x:v>Fail</x:v>
      </x:c>
      <x:c r="G38" s="64" t="str">
        <x:v>Fail</x:v>
      </x:c>
      <x:c r="H38" s="64" t="str">
        <x:v>Fail</x:v>
      </x:c>
      <x:c r="I38" s="64" t="str">
        <x:v>Fail</x:v>
      </x:c>
      <x:c r="J38" s="64" t="str">
        <x:v>Pass</x:v>
      </x:c>
      <x:c r="K38"/>
    </x:row>
    <x:row r="39" ht="33" customHeight="1">
      <x:c r="A39" s="26" t="str">
        <x:v>BL-0384</x:v>
      </x:c>
      <x:c r="B39" s="64" t="str">
        <x:v>bixbench_bix-51-q1</x:v>
      </x:c>
      <x:c r="C39" s="64" t="str">
        <x:v>BixBench</x:v>
      </x:c>
      <x:c r="D39" s="64" t="str">
        <x:v>Fitting &amp; inference</x:v>
      </x:c>
      <x:c r="E39" s="64" t="str">
        <x:v>Fail</x:v>
      </x:c>
      <x:c r="F39" s="64" t="str">
        <x:v>Fail</x:v>
      </x:c>
      <x:c r="G39" s="64" t="str">
        <x:v>Pass</x:v>
      </x:c>
      <x:c r="H39" s="64" t="str">
        <x:v>Pass</x:v>
      </x:c>
      <x:c r="I39" s="64" t="str">
        <x:v>Pass</x:v>
      </x:c>
      <x:c r="J39" s="64" t="str">
        <x:v>Pass</x:v>
      </x:c>
      <x:c r="K39"/>
    </x:row>
    <x:row r="40" ht="33" customHeight="1">
      <x:c r="A40" s="26" t="str">
        <x:v>BL-0385</x:v>
      </x:c>
      <x:c r="B40" s="64" t="str">
        <x:v>bixbench_bix-51-q2</x:v>
      </x:c>
      <x:c r="C40" s="64" t="str">
        <x:v>BixBench</x:v>
      </x:c>
      <x:c r="D40" s="64" t="str">
        <x:v>Fitting &amp; inference</x:v>
      </x:c>
      <x:c r="E40" s="64" t="str">
        <x:v>Pass</x:v>
      </x:c>
      <x:c r="F40" s="64" t="str">
        <x:v>Pass</x:v>
      </x:c>
      <x:c r="G40" s="64" t="str">
        <x:v>Pass</x:v>
      </x:c>
      <x:c r="H40" s="64" t="str">
        <x:v>Pass</x:v>
      </x:c>
      <x:c r="I40" s="64" t="str">
        <x:v>Pass</x:v>
      </x:c>
      <x:c r="J40" s="64" t="str">
        <x:v>Pass</x:v>
      </x:c>
      <x:c r="K40"/>
    </x:row>
    <x:row r="41" ht="33" customHeight="1">
      <x:c r="A41" s="26" t="str">
        <x:v>BL-0587</x:v>
      </x:c>
      <x:c r="B41" s="64" t="str">
        <x:v>BioDSBench-14</x:v>
      </x:c>
      <x:c r="C41" s="64" t="str">
        <x:v>BioDSBench</x:v>
      </x:c>
      <x:c r="D41" s="64" t="str">
        <x:v>Basic plot</x:v>
      </x:c>
      <x:c r="E41" s="64" t="str">
        <x:v>Fail</x:v>
      </x:c>
      <x:c r="F41" s="64" t="str">
        <x:v>Fail</x:v>
      </x:c>
      <x:c r="G41" s="64" t="str">
        <x:v>Pass</x:v>
      </x:c>
      <x:c r="H41" s="64" t="str">
        <x:v>Pass</x:v>
      </x:c>
      <x:c r="I41" s="64" t="str">
        <x:v>Pass</x:v>
      </x:c>
      <x:c r="J41" s="64" t="str">
        <x:v>Pass</x:v>
      </x:c>
      <x:c r="K41"/>
    </x:row>
    <x:row r="42" ht="33" customHeight="1">
      <x:c r="A42" s="26" t="str">
        <x:v>BL-0642</x:v>
      </x:c>
      <x:c r="B42" s="64" t="str">
        <x:v>BioDSBench-97</x:v>
      </x:c>
      <x:c r="C42" s="64" t="str">
        <x:v>BioDSBench</x:v>
      </x:c>
      <x:c r="D42" s="64" t="str">
        <x:v>Other</x:v>
      </x:c>
      <x:c r="E42" s="64" t="str">
        <x:v>Fail</x:v>
      </x:c>
      <x:c r="F42" s="64" t="str">
        <x:v>Fail</x:v>
      </x:c>
      <x:c r="G42" s="64" t="str">
        <x:v>Pass</x:v>
      </x:c>
      <x:c r="H42" s="64" t="str">
        <x:v>Pass</x:v>
      </x:c>
      <x:c r="I42" s="64" t="str">
        <x:v>Pass</x:v>
      </x:c>
      <x:c r="J42" s="64" t="str">
        <x:v>Fail</x:v>
      </x:c>
      <x:c r="K42"/>
    </x:row>
    <x:row r="43" ht="33" customHeight="1">
      <x:c r="A43" s="26" t="str">
        <x:v>BL-0134</x:v>
      </x:c>
      <x:c r="B43" s="64" t="str">
        <x:v>biomed_aqa_237</x:v>
      </x:c>
      <x:c r="C43" s="64" t="str">
        <x:v>BioMed-AQA</x:v>
      </x:c>
      <x:c r="D43" s="64" t="str">
        <x:v>Basic plot</x:v>
      </x:c>
      <x:c r="E43" s="64" t="str">
        <x:v>Pass</x:v>
      </x:c>
      <x:c r="F43" s="64" t="str">
        <x:v>Fail</x:v>
      </x:c>
      <x:c r="G43" s="64" t="str">
        <x:v>Pass</x:v>
      </x:c>
      <x:c r="H43" s="64" t="str">
        <x:v>Pass</x:v>
      </x:c>
      <x:c r="I43" s="64" t="str">
        <x:v>Pass</x:v>
      </x:c>
      <x:c r="J43" s="64" t="str">
        <x:v>Pass</x:v>
      </x:c>
      <x:c r="K43"/>
    </x:row>
    <x:row r="44" ht="33" customHeight="1">
      <x:c r="A44" s="26" t="str">
        <x:v>BL-0137</x:v>
      </x:c>
      <x:c r="B44" s="64" t="str">
        <x:v>biomed_aqa_240</x:v>
      </x:c>
      <x:c r="C44" s="64" t="str">
        <x:v>BioMed-AQA</x:v>
      </x:c>
      <x:c r="D44" s="64" t="str">
        <x:v>Basic plot</x:v>
      </x:c>
      <x:c r="E44" s="64" t="str">
        <x:v>Pass</x:v>
      </x:c>
      <x:c r="F44" s="64" t="str">
        <x:v>Fail</x:v>
      </x:c>
      <x:c r="G44" s="64" t="str">
        <x:v>Pass</x:v>
      </x:c>
      <x:c r="H44" s="64" t="str">
        <x:v>Pass</x:v>
      </x:c>
      <x:c r="I44" s="64" t="str">
        <x:v>Pass</x:v>
      </x:c>
      <x:c r="J44" s="64" t="str">
        <x:v>Pass</x:v>
      </x:c>
      <x:c r="K44"/>
    </x:row>
    <x:row r="45" ht="33" customHeight="1">
      <x:c r="A45" s="26" t="str">
        <x:v>BL-0145</x:v>
      </x:c>
      <x:c r="B45" s="64" t="str">
        <x:v>biomed_aqa_248</x:v>
      </x:c>
      <x:c r="C45" s="64" t="str">
        <x:v>BioMed-AQA</x:v>
      </x:c>
      <x:c r="D45" s="64" t="str">
        <x:v>Basic plot</x:v>
      </x:c>
      <x:c r="E45" s="64" t="str">
        <x:v>Pass</x:v>
      </x:c>
      <x:c r="F45" s="64" t="str">
        <x:v>Fail</x:v>
      </x:c>
      <x:c r="G45" s="64" t="str">
        <x:v>Pass</x:v>
      </x:c>
      <x:c r="H45" s="64" t="str">
        <x:v>Pass</x:v>
      </x:c>
      <x:c r="I45" s="64" t="str">
        <x:v>Pass</x:v>
      </x:c>
      <x:c r="J45" s="64" t="str">
        <x:v>Pass</x:v>
      </x:c>
      <x:c r="K45"/>
    </x:row>
    <x:row r="46" ht="33" customHeight="1">
      <x:c r="A46" s="26" t="str">
        <x:v>BL-0149</x:v>
      </x:c>
      <x:c r="B46" s="64" t="str">
        <x:v>biomed_aqa_258</x:v>
      </x:c>
      <x:c r="C46" s="64" t="str">
        <x:v>BioMed-AQA</x:v>
      </x:c>
      <x:c r="D46" s="64" t="str">
        <x:v>Upset</x:v>
      </x:c>
      <x:c r="E46" s="64" t="str">
        <x:v>Pass</x:v>
      </x:c>
      <x:c r="F46" s="64" t="str">
        <x:v>Pass</x:v>
      </x:c>
      <x:c r="G46" s="64" t="str">
        <x:v>Pass</x:v>
      </x:c>
      <x:c r="H46" s="64" t="str">
        <x:v>Pass</x:v>
      </x:c>
      <x:c r="I46" s="64" t="str">
        <x:v>Pass</x:v>
      </x:c>
      <x:c r="J46" s="64" t="str">
        <x:v>Pass</x:v>
      </x:c>
      <x:c r="K46"/>
    </x:row>
    <x:row r="47" ht="33" customHeight="1">
      <x:c r="A47" s="26" t="str">
        <x:v>BL-0152</x:v>
      </x:c>
      <x:c r="B47" s="64" t="str">
        <x:v>biomed_aqa_261</x:v>
      </x:c>
      <x:c r="C47" s="64" t="str">
        <x:v>BioMed-AQA</x:v>
      </x:c>
      <x:c r="D47" s="64" t="str">
        <x:v>Upset</x:v>
      </x:c>
      <x:c r="E47" s="64" t="str">
        <x:v>Pass</x:v>
      </x:c>
      <x:c r="F47" s="64" t="str">
        <x:v>Fail</x:v>
      </x:c>
      <x:c r="G47" s="64" t="str">
        <x:v>Pass</x:v>
      </x:c>
      <x:c r="H47" s="64" t="str">
        <x:v>Pass</x:v>
      </x:c>
      <x:c r="I47" s="64" t="str">
        <x:v>Pass</x:v>
      </x:c>
      <x:c r="J47" s="64" t="str">
        <x:v>Pass</x:v>
      </x:c>
      <x:c r="K47"/>
    </x:row>
    <x:row r="48" ht="33" customHeight="1">
      <x:c r="A48" s="26" t="str">
        <x:v>BL-0155</x:v>
      </x:c>
      <x:c r="B48" s="64" t="str">
        <x:v>biomed_aqa_264</x:v>
      </x:c>
      <x:c r="C48" s="64" t="str">
        <x:v>BioMed-AQA</x:v>
      </x:c>
      <x:c r="D48" s="64" t="str">
        <x:v>Upset</x:v>
      </x:c>
      <x:c r="E48" s="64" t="str">
        <x:v>Fail</x:v>
      </x:c>
      <x:c r="F48" s="64" t="str">
        <x:v>Fail</x:v>
      </x:c>
      <x:c r="G48" s="64" t="str">
        <x:v>Pass</x:v>
      </x:c>
      <x:c r="H48" s="64" t="str">
        <x:v>Pass</x:v>
      </x:c>
      <x:c r="I48" s="64" t="str">
        <x:v>Fail</x:v>
      </x:c>
      <x:c r="J48" s="64" t="str">
        <x:v>Pass</x:v>
      </x:c>
      <x:c r="K48"/>
    </x:row>
    <x:row r="49" ht="33" customHeight="1">
      <x:c r="A49" s="26" t="str">
        <x:v>BL-0189</x:v>
      </x:c>
      <x:c r="B49" s="64" t="str">
        <x:v>biomed_aqa_317</x:v>
      </x:c>
      <x:c r="C49" s="64" t="str">
        <x:v>BioMed-AQA</x:v>
      </x:c>
      <x:c r="D49" s="64" t="str">
        <x:v>Other</x:v>
      </x:c>
      <x:c r="E49" s="64" t="str">
        <x:v>Pass</x:v>
      </x:c>
      <x:c r="F49" s="64" t="str">
        <x:v>Fail</x:v>
      </x:c>
      <x:c r="G49" s="64" t="str">
        <x:v>Pass</x:v>
      </x:c>
      <x:c r="H49" s="64" t="str">
        <x:v>Pass</x:v>
      </x:c>
      <x:c r="I49" s="64" t="str">
        <x:v>Pass</x:v>
      </x:c>
      <x:c r="J49" s="64" t="str">
        <x:v>Pass</x:v>
      </x:c>
      <x:c r="K49"/>
    </x:row>
    <x:row r="50" ht="33" customHeight="1">
      <x:c r="A50" s="26" t="str">
        <x:v>BL-0196</x:v>
      </x:c>
      <x:c r="B50" s="64" t="str">
        <x:v>biomed_aqa_324</x:v>
      </x:c>
      <x:c r="C50" s="64" t="str">
        <x:v>BioMed-AQA</x:v>
      </x:c>
      <x:c r="D50" s="64" t="str">
        <x:v>Other</x:v>
      </x:c>
      <x:c r="E50" s="64" t="str">
        <x:v>Pass</x:v>
      </x:c>
      <x:c r="F50" s="64" t="str">
        <x:v>Fail</x:v>
      </x:c>
      <x:c r="G50" s="64" t="str">
        <x:v>Pass</x:v>
      </x:c>
      <x:c r="H50" s="64" t="str">
        <x:v>Pass</x:v>
      </x:c>
      <x:c r="I50" s="64" t="str">
        <x:v>Pass</x:v>
      </x:c>
      <x:c r="J50" s="64" t="str">
        <x:v>Pass</x:v>
      </x:c>
      <x:c r="K50"/>
    </x:row>
    <x:row r="51" ht="33" customHeight="1">
      <x:c r="A51" s="26" t="str">
        <x:v>BL-0004</x:v>
      </x:c>
      <x:c r="B51" s="64" t="str">
        <x:v>biomed_aqa_1</x:v>
      </x:c>
      <x:c r="C51" s="64" t="str">
        <x:v>BioMed-AQA</x:v>
      </x:c>
      <x:c r="D51" s="64" t="str">
        <x:v>DNA</x:v>
      </x:c>
      <x:c r="E51" s="64" t="str">
        <x:v>Fail</x:v>
      </x:c>
      <x:c r="F51" s="64" t="str">
        <x:v>Fail</x:v>
      </x:c>
      <x:c r="G51" s="64" t="str">
        <x:v>Fail</x:v>
      </x:c>
      <x:c r="H51" s="64" t="str">
        <x:v>Fail</x:v>
      </x:c>
      <x:c r="I51" s="64" t="str">
        <x:v>Fail</x:v>
      </x:c>
      <x:c r="J51" s="64" t="str">
        <x:v>Fail</x:v>
      </x:c>
      <x:c r="K51"/>
    </x:row>
    <x:row r="52" ht="33" customHeight="1">
      <x:c r="A52" s="26" t="str">
        <x:v>BL-0009</x:v>
      </x:c>
      <x:c r="B52" s="64" t="str">
        <x:v>biomed_aqa_9</x:v>
      </x:c>
      <x:c r="C52" s="64" t="str">
        <x:v>BioMed-AQA</x:v>
      </x:c>
      <x:c r="D52" s="64" t="str">
        <x:v>DNA</x:v>
      </x:c>
      <x:c r="E52" s="64" t="str">
        <x:v>Fail</x:v>
      </x:c>
      <x:c r="F52" s="64" t="str">
        <x:v>Fail</x:v>
      </x:c>
      <x:c r="G52" s="64" t="str">
        <x:v>Fail</x:v>
      </x:c>
      <x:c r="H52" s="64" t="str">
        <x:v>Fail</x:v>
      </x:c>
      <x:c r="I52" s="64" t="str">
        <x:v>Fail</x:v>
      </x:c>
      <x:c r="J52" s="64" t="str">
        <x:v>Fail</x:v>
      </x:c>
      <x:c r="K52"/>
    </x:row>
    <x:row r="53" ht="33" customHeight="1">
      <x:c r="A53" s="26" t="str">
        <x:v>BL-0019</x:v>
      </x:c>
      <x:c r="B53" s="64" t="str">
        <x:v>biomed_aqa_25</x:v>
      </x:c>
      <x:c r="C53" s="64" t="str">
        <x:v>BioMed-AQA</x:v>
      </x:c>
      <x:c r="D53" s="64" t="str">
        <x:v>DNA</x:v>
      </x:c>
      <x:c r="E53" s="64" t="str">
        <x:v>Fail</x:v>
      </x:c>
      <x:c r="F53" s="64" t="str">
        <x:v>Fail</x:v>
      </x:c>
      <x:c r="G53" s="64" t="str">
        <x:v>Pass</x:v>
      </x:c>
      <x:c r="H53" s="64" t="str">
        <x:v>Fail</x:v>
      </x:c>
      <x:c r="I53" s="64" t="str">
        <x:v>Fail</x:v>
      </x:c>
      <x:c r="J53" s="64" t="str">
        <x:v>Fail</x:v>
      </x:c>
      <x:c r="K53"/>
    </x:row>
    <x:row r="54" ht="33" customHeight="1">
      <x:c r="A54" s="26" t="str">
        <x:v>BL-0022</x:v>
      </x:c>
      <x:c r="B54" s="64" t="str">
        <x:v>biomed_aqa_31</x:v>
      </x:c>
      <x:c r="C54" s="64" t="str">
        <x:v>BioMed-AQA</x:v>
      </x:c>
      <x:c r="D54" s="64" t="str">
        <x:v>DNA</x:v>
      </x:c>
      <x:c r="E54" s="64" t="str">
        <x:v>Fail</x:v>
      </x:c>
      <x:c r="F54" s="64" t="str">
        <x:v>Fail</x:v>
      </x:c>
      <x:c r="G54" s="64" t="str">
        <x:v>Fail</x:v>
      </x:c>
      <x:c r="H54" s="64" t="str">
        <x:v>Fail</x:v>
      </x:c>
      <x:c r="I54" s="64" t="str">
        <x:v>Fail</x:v>
      </x:c>
      <x:c r="J54" s="64" t="str">
        <x:v>Fail</x:v>
      </x:c>
      <x:c r="K54"/>
    </x:row>
    <x:row r="55" ht="33" customHeight="1">
      <x:c r="A55" s="26" t="str">
        <x:v>BL-0025</x:v>
      </x:c>
      <x:c r="B55" s="64" t="str">
        <x:v>biomed_aqa_50</x:v>
      </x:c>
      <x:c r="C55" s="64" t="str">
        <x:v>BioMed-AQA</x:v>
      </x:c>
      <x:c r="D55" s="64" t="str">
        <x:v>RNA</x:v>
      </x:c>
      <x:c r="E55" s="64" t="str">
        <x:v>Fail</x:v>
      </x:c>
      <x:c r="F55" s="64" t="str">
        <x:v>Fail</x:v>
      </x:c>
      <x:c r="G55" s="64" t="str">
        <x:v>Fail</x:v>
      </x:c>
      <x:c r="H55" s="64" t="str">
        <x:v>Fail</x:v>
      </x:c>
      <x:c r="I55" s="64" t="str">
        <x:v>Fail</x:v>
      </x:c>
      <x:c r="J55" s="64" t="str">
        <x:v>Pass</x:v>
      </x:c>
      <x:c r="K55"/>
    </x:row>
    <x:row r="56" ht="33" customHeight="1">
      <x:c r="A56" s="26" t="str">
        <x:v>BL-0028</x:v>
      </x:c>
      <x:c r="B56" s="64" t="str">
        <x:v>biomed_aqa_55</x:v>
      </x:c>
      <x:c r="C56" s="64" t="str">
        <x:v>BioMed-AQA</x:v>
      </x:c>
      <x:c r="D56" s="64" t="str">
        <x:v>RNA</x:v>
      </x:c>
      <x:c r="E56" s="64" t="str">
        <x:v>Fail</x:v>
      </x:c>
      <x:c r="F56" s="64" t="str">
        <x:v>Fail</x:v>
      </x:c>
      <x:c r="G56" s="64" t="str">
        <x:v>Pass</x:v>
      </x:c>
      <x:c r="H56" s="64" t="str">
        <x:v>Fail</x:v>
      </x:c>
      <x:c r="I56" s="64" t="str">
        <x:v>Pass</x:v>
      </x:c>
      <x:c r="J56" s="64" t="str">
        <x:v>Pass</x:v>
      </x:c>
      <x:c r="K56"/>
    </x:row>
    <x:row r="57" ht="33" customHeight="1">
      <x:c r="A57" s="26" t="str">
        <x:v>BL-0242</x:v>
      </x:c>
      <x:c r="B57" s="64" t="str">
        <x:v>bixbench_bix-1-q1</x:v>
      </x:c>
      <x:c r="C57" s="64" t="str">
        <x:v>BixBench</x:v>
      </x:c>
      <x:c r="D57" s="64" t="str">
        <x:v>Inferential statistics</x:v>
      </x:c>
      <x:c r="E57" s="64" t="str">
        <x:v>Fail</x:v>
      </x:c>
      <x:c r="F57" s="64" t="str">
        <x:v>Fail</x:v>
      </x:c>
      <x:c r="G57" s="64" t="str">
        <x:v>Pass</x:v>
      </x:c>
      <x:c r="H57" s="64" t="str">
        <x:v>Pass</x:v>
      </x:c>
      <x:c r="I57" s="64" t="str">
        <x:v>Pass</x:v>
      </x:c>
      <x:c r="J57" s="64" t="str">
        <x:v>Fail</x:v>
      </x:c>
      <x:c r="K57"/>
    </x:row>
    <x:row r="58" ht="33" customHeight="1">
      <x:c r="A58" s="26" t="str">
        <x:v>BL-0293</x:v>
      </x:c>
      <x:c r="B58" s="64" t="str">
        <x:v>bixbench_bix-24-q1</x:v>
      </x:c>
      <x:c r="C58" s="64" t="str">
        <x:v>BixBench</x:v>
      </x:c>
      <x:c r="D58" s="64" t="str">
        <x:v>Inferential statistics</x:v>
      </x:c>
      <x:c r="E58" s="64" t="str">
        <x:v>Fail</x:v>
      </x:c>
      <x:c r="F58" s="64" t="str">
        <x:v>Fail</x:v>
      </x:c>
      <x:c r="G58" s="64" t="str">
        <x:v>Pass</x:v>
      </x:c>
      <x:c r="H58" s="64" t="str">
        <x:v>Pass</x:v>
      </x:c>
      <x:c r="I58" s="64" t="str">
        <x:v>Pass</x:v>
      </x:c>
      <x:c r="J58" s="64" t="str">
        <x:v>Fail</x:v>
      </x:c>
      <x:c r="K58"/>
    </x:row>
    <x:row r="59" ht="33" customHeight="1">
      <x:c r="A59" s="26" t="str">
        <x:v>BL-0335</x:v>
      </x:c>
      <x:c r="B59" s="64" t="str">
        <x:v>bixbench_bix-35-q1</x:v>
      </x:c>
      <x:c r="C59" s="64" t="str">
        <x:v>BixBench</x:v>
      </x:c>
      <x:c r="D59" s="64" t="str">
        <x:v>Descriptive statistics</x:v>
      </x:c>
      <x:c r="E59" s="64" t="str">
        <x:v>Fail</x:v>
      </x:c>
      <x:c r="F59" s="64" t="str">
        <x:v>Fail</x:v>
      </x:c>
      <x:c r="G59" s="64" t="str">
        <x:v>Pass</x:v>
      </x:c>
      <x:c r="H59" s="64" t="str">
        <x:v>Pass</x:v>
      </x:c>
      <x:c r="I59" s="64" t="str">
        <x:v>Pass</x:v>
      </x:c>
      <x:c r="J59" s="64" t="str">
        <x:v>Fail</x:v>
      </x:c>
      <x:c r="K59"/>
    </x:row>
    <x:row r="60" ht="33" customHeight="1">
      <x:c r="A60" s="26" t="str">
        <x:v>BL-0404</x:v>
      </x:c>
      <x:c r="B60" s="64" t="str">
        <x:v>bixbench_bix-55-q1</x:v>
      </x:c>
      <x:c r="C60" s="64" t="str">
        <x:v>BixBench</x:v>
      </x:c>
      <x:c r="D60" s="64" t="str">
        <x:v>Descriptive statistics</x:v>
      </x:c>
      <x:c r="E60" s="64" t="str">
        <x:v>Fail</x:v>
      </x:c>
      <x:c r="F60" s="64" t="str">
        <x:v>Fail</x:v>
      </x:c>
      <x:c r="G60" s="64" t="str">
        <x:v>Pass</x:v>
      </x:c>
      <x:c r="H60" s="64" t="str">
        <x:v>Fail</x:v>
      </x:c>
      <x:c r="I60" s="64" t="str">
        <x:v>Fail</x:v>
      </x:c>
      <x:c r="J60" s="64" t="str">
        <x:v>Fail</x:v>
      </x:c>
      <x:c r="K60"/>
    </x:row>
    <x:row r="61" ht="33" customHeight="1">
      <x:c r="A61" s="26" t="str">
        <x:v>BL-0406</x:v>
      </x:c>
      <x:c r="B61" s="64" t="str">
        <x:v>bixbench_bix-57-q1</x:v>
      </x:c>
      <x:c r="C61" s="64" t="str">
        <x:v>BixBench</x:v>
      </x:c>
      <x:c r="D61" s="64" t="str">
        <x:v>Descriptive statistics</x:v>
      </x:c>
      <x:c r="E61" s="64" t="str">
        <x:v>Fail</x:v>
      </x:c>
      <x:c r="F61" s="64" t="str">
        <x:v>Fail</x:v>
      </x:c>
      <x:c r="G61" s="64" t="str">
        <x:v>Fail</x:v>
      </x:c>
      <x:c r="H61" s="64" t="str">
        <x:v>Fail</x:v>
      </x:c>
      <x:c r="I61" s="64" t="str">
        <x:v>Fail</x:v>
      </x:c>
      <x:c r="J61" s="64" t="str">
        <x:v>Fail</x:v>
      </x:c>
      <x:c r="K61"/>
    </x:row>
    <x:row r="62" ht="33" customHeight="1">
      <x:c r="A62" s="26" t="str">
        <x:v>BL-0407</x:v>
      </x:c>
      <x:c r="B62" s="64" t="str">
        <x:v>bixbench_bix-58-q1</x:v>
      </x:c>
      <x:c r="C62" s="64" t="str">
        <x:v>BixBench</x:v>
      </x:c>
      <x:c r="D62" s="64" t="str">
        <x:v>Descriptive statistics</x:v>
      </x:c>
      <x:c r="E62" s="64" t="str">
        <x:v>Pass</x:v>
      </x:c>
      <x:c r="F62" s="64" t="str">
        <x:v>Fail</x:v>
      </x:c>
      <x:c r="G62" s="64" t="str">
        <x:v>Fail</x:v>
      </x:c>
      <x:c r="H62" s="64" t="str">
        <x:v>Pass</x:v>
      </x:c>
      <x:c r="I62" s="64" t="str">
        <x:v>Pass</x:v>
      </x:c>
      <x:c r="J62" s="64" t="str">
        <x:v>Pass</x:v>
      </x:c>
      <x:c r="K62"/>
    </x:row>
    <x:row r="63" ht="33" customHeight="1">
      <x:c r="A63" s="26" t="str">
        <x:v>BL-0210</x:v>
      </x:c>
      <x:c r="B63" s="64" t="str">
        <x:v>biomni_lab_bench_seqqa_524</x:v>
      </x:c>
      <x:c r="C63" s="64" t="str">
        <x:v>Biomni-Eval</x:v>
      </x:c>
      <x:c r="D63" s="64" t="str">
        <x:v>Genetic</x:v>
      </x:c>
      <x:c r="E63" s="64" t="str">
        <x:v>Fail</x:v>
      </x:c>
      <x:c r="F63" s="64" t="str">
        <x:v>Fail</x:v>
      </x:c>
      <x:c r="G63" s="64" t="str">
        <x:v>Pass</x:v>
      </x:c>
      <x:c r="H63" s="64" t="str">
        <x:v>Pass</x:v>
      </x:c>
      <x:c r="I63" s="64" t="str">
        <x:v>Pass</x:v>
      </x:c>
      <x:c r="J63" s="64" t="str">
        <x:v>Pass</x:v>
      </x:c>
      <x:c r="K63"/>
    </x:row>
    <x:row r="64" ht="33" customHeight="1">
      <x:c r="A64" s="26" t="str">
        <x:v>BL-0211</x:v>
      </x:c>
      <x:c r="B64" s="64" t="str">
        <x:v>biomni_lab_bench_seqqa_378</x:v>
      </x:c>
      <x:c r="C64" s="64" t="str">
        <x:v>Biomni-Eval</x:v>
      </x:c>
      <x:c r="D64" s="64" t="str">
        <x:v>Genetic</x:v>
      </x:c>
      <x:c r="E64" s="64" t="str">
        <x:v>Pass</x:v>
      </x:c>
      <x:c r="F64" s="64" t="str">
        <x:v>Fail</x:v>
      </x:c>
      <x:c r="G64" s="64" t="str">
        <x:v>Pass</x:v>
      </x:c>
      <x:c r="H64" s="64" t="str">
        <x:v>Pass</x:v>
      </x:c>
      <x:c r="I64" s="64" t="str">
        <x:v>Pass</x:v>
      </x:c>
      <x:c r="J64" s="64" t="str">
        <x:v>Pass</x:v>
      </x:c>
      <x:c r="K64"/>
    </x:row>
    <x:row r="65" ht="33" customHeight="1">
      <x:c r="A65" s="26" t="str">
        <x:v>BL-0212</x:v>
      </x:c>
      <x:c r="B65" s="64" t="str">
        <x:v>biomni_lab_bench_seqqa_128</x:v>
      </x:c>
      <x:c r="C65" s="64" t="str">
        <x:v>Biomni-Eval</x:v>
      </x:c>
      <x:c r="D65" s="64" t="str">
        <x:v>Genetic</x:v>
      </x:c>
      <x:c r="E65" s="64" t="str">
        <x:v>Pass</x:v>
      </x:c>
      <x:c r="F65" s="64" t="str">
        <x:v>Fail</x:v>
      </x:c>
      <x:c r="G65" s="64" t="str">
        <x:v>Pass</x:v>
      </x:c>
      <x:c r="H65" s="64" t="str">
        <x:v>Pass</x:v>
      </x:c>
      <x:c r="I65" s="64" t="str">
        <x:v>Pass</x:v>
      </x:c>
      <x:c r="J65" s="64" t="str">
        <x:v>Pass</x:v>
      </x:c>
      <x:c r="K65"/>
    </x:row>
    <x:row r="66" ht="33" customHeight="1">
      <x:c r="A66" s="26" t="str">
        <x:v>BL-0213</x:v>
      </x:c>
      <x:c r="B66" s="64" t="str">
        <x:v>biomni_lab_bench_seqqa_52</x:v>
      </x:c>
      <x:c r="C66" s="64" t="str">
        <x:v>Biomni-Eval</x:v>
      </x:c>
      <x:c r="D66" s="64" t="str">
        <x:v>Genetic</x:v>
      </x:c>
      <x:c r="E66" s="64" t="str">
        <x:v>Pass</x:v>
      </x:c>
      <x:c r="F66" s="64" t="str">
        <x:v>Fail</x:v>
      </x:c>
      <x:c r="G66" s="64" t="str">
        <x:v>Pass</x:v>
      </x:c>
      <x:c r="H66" s="64" t="str">
        <x:v>Pass</x:v>
      </x:c>
      <x:c r="I66" s="64" t="str">
        <x:v>Pass</x:v>
      </x:c>
      <x:c r="J66" s="64" t="str">
        <x:v>Pass</x:v>
      </x:c>
      <x:c r="K66"/>
    </x:row>
    <x:row r="67" ht="33" customHeight="1">
      <x:c r="A67" s="26" t="str">
        <x:v>BL-0497</x:v>
      </x:c>
      <x:c r="B67" s="64" t="str">
        <x:v>labbench_298466bc-8295-4062-89fd-05cd1609ca62</x:v>
      </x:c>
      <x:c r="C67" s="64" t="str">
        <x:v>LAB-Bench</x:v>
      </x:c>
      <x:c r="D67" s="64" t="str">
        <x:v>Genetic</x:v>
      </x:c>
      <x:c r="E67" s="64" t="str">
        <x:v>Fail</x:v>
      </x:c>
      <x:c r="F67" s="64" t="str">
        <x:v>Fail</x:v>
      </x:c>
      <x:c r="G67" s="64" t="str">
        <x:v>Pass</x:v>
      </x:c>
      <x:c r="H67" s="64" t="str">
        <x:v>Pass</x:v>
      </x:c>
      <x:c r="I67" s="64" t="str">
        <x:v>Pass</x:v>
      </x:c>
      <x:c r="J67" s="64" t="str">
        <x:v>Pass</x:v>
      </x:c>
      <x:c r="K67"/>
    </x:row>
    <x:row r="68" ht="33" customHeight="1">
      <x:c r="A68" s="26" t="str">
        <x:v>BL-0507</x:v>
      </x:c>
      <x:c r="B68" s="64" t="str">
        <x:v>labbench_27e661ad-a491-4a36-9dd3-248327db35a5</x:v>
      </x:c>
      <x:c r="C68" s="64" t="str">
        <x:v>LAB-Bench</x:v>
      </x:c>
      <x:c r="D68" s="64" t="str">
        <x:v>Genetic</x:v>
      </x:c>
      <x:c r="E68" s="64" t="str">
        <x:v>Fail</x:v>
      </x:c>
      <x:c r="F68" s="64" t="str">
        <x:v>Fail</x:v>
      </x:c>
      <x:c r="G68" s="64" t="str">
        <x:v>Fail</x:v>
      </x:c>
      <x:c r="H68" s="64" t="str">
        <x:v>Fail</x:v>
      </x:c>
      <x:c r="I68" s="64" t="str">
        <x:v>Fail</x:v>
      </x:c>
      <x:c r="J68" s="64" t="str">
        <x:v>Pass</x:v>
      </x:c>
      <x:c r="K68"/>
    </x:row>
    <x:row r="69" ht="33" customHeight="1">
      <x:c r="A69" s="26" t="str">
        <x:v>BL-0722</x:v>
      </x:c>
      <x:c r="B69" s="64" t="str">
        <x:v>labbench_fe04cd5a-b6b4-4afe-8fa1-f115cdb782ea</x:v>
      </x:c>
      <x:c r="C69" s="64" t="str">
        <x:v>LAB-Bench</x:v>
      </x:c>
      <x:c r="D69" s="64" t="str">
        <x:v>Genetic</x:v>
      </x:c>
      <x:c r="E69" s="64" t="str">
        <x:v>Pass</x:v>
      </x:c>
      <x:c r="F69" s="64" t="str">
        <x:v>Fail</x:v>
      </x:c>
      <x:c r="G69" s="64" t="str">
        <x:v>Pass</x:v>
      </x:c>
      <x:c r="H69" s="64" t="str">
        <x:v>Pass</x:v>
      </x:c>
      <x:c r="I69" s="64" t="str">
        <x:v>Pass</x:v>
      </x:c>
      <x:c r="J69" s="64" t="str">
        <x:v>Fail</x:v>
      </x:c>
      <x:c r="K69"/>
    </x:row>
    <x:row r="70" ht="33" customHeight="1">
      <x:c r="A70" s="26" t="str">
        <x:v>BL-0532</x:v>
      </x:c>
      <x:c r="B70" s="64" t="str">
        <x:v>labbench_4b669efe-3bf5-41ce-8c5c-19fa2145745a</x:v>
      </x:c>
      <x:c r="C70" s="64" t="str">
        <x:v>LAB-Bench</x:v>
      </x:c>
      <x:c r="D70" s="64" t="str">
        <x:v>Genetic</x:v>
      </x:c>
      <x:c r="E70" s="64" t="str">
        <x:v>Pass</x:v>
      </x:c>
      <x:c r="F70" s="64" t="str">
        <x:v>Fail</x:v>
      </x:c>
      <x:c r="G70" s="64" t="str">
        <x:v>Pass</x:v>
      </x:c>
      <x:c r="H70" s="64" t="str">
        <x:v>Pass</x:v>
      </x:c>
      <x:c r="I70" s="64" t="str">
        <x:v>Pass</x:v>
      </x:c>
      <x:c r="J70" s="64" t="str">
        <x:v>Pass</x:v>
      </x:c>
      <x:c r="K70"/>
    </x:row>
    <x:row r="71" ht="33" customHeight="1">
      <x:c r="A71" s="26" t="str">
        <x:v>BL-0547</x:v>
      </x:c>
      <x:c r="B71" s="64" t="str">
        <x:v>labbench_cc785251-aac6-4a33-8b8a-09979a81ad2b</x:v>
      </x:c>
      <x:c r="C71" s="64" t="str">
        <x:v>LAB-Bench</x:v>
      </x:c>
      <x:c r="D71" s="64" t="str">
        <x:v>Genetic</x:v>
      </x:c>
      <x:c r="E71" s="64" t="str">
        <x:v>Pass</x:v>
      </x:c>
      <x:c r="F71" s="64" t="str">
        <x:v>Fail</x:v>
      </x:c>
      <x:c r="G71" s="64" t="str">
        <x:v>Pass</x:v>
      </x:c>
      <x:c r="H71" s="64" t="str">
        <x:v>Pass</x:v>
      </x:c>
      <x:c r="I71" s="64" t="str">
        <x:v>Pass</x:v>
      </x:c>
      <x:c r="J71" s="64" t="str">
        <x:v>Pass</x:v>
      </x:c>
      <x:c r="K71"/>
    </x:row>
    <x:row r="72" ht="33" customHeight="1">
      <x:c r="A72" s="26" t="str">
        <x:v>BL-0571</x:v>
      </x:c>
      <x:c r="B72" s="64" t="str">
        <x:v>labbench_85bfae8c-5ca5-4cc7-a304-642262294715</x:v>
      </x:c>
      <x:c r="C72" s="64" t="str">
        <x:v>LAB-Bench</x:v>
      </x:c>
      <x:c r="D72" s="64" t="str">
        <x:v>Genetic</x:v>
      </x:c>
      <x:c r="E72" s="64" t="str">
        <x:v>Fail</x:v>
      </x:c>
      <x:c r="F72" s="64" t="str">
        <x:v>Fail</x:v>
      </x:c>
      <x:c r="G72" s="64" t="str">
        <x:v>Pass</x:v>
      </x:c>
      <x:c r="H72" s="64" t="str">
        <x:v>Pass</x:v>
      </x:c>
      <x:c r="I72" s="64" t="str">
        <x:v>Pass</x:v>
      </x:c>
      <x:c r="J72" s="64" t="str">
        <x:v>Pass</x:v>
      </x:c>
      <x:c r="K72"/>
    </x:row>
    <x:row r="73" ht="33" customHeight="1">
      <x:c r="A73" s="26" t="str">
        <x:v>BL-0228</x:v>
      </x:c>
      <x:c r="B73" s="64" t="str">
        <x:v>biomni_lab_bench_dbqa_43</x:v>
      </x:c>
      <x:c r="C73" s="64" t="str">
        <x:v>Biomni-Eval</x:v>
      </x:c>
      <x:c r="D73" s="64" t="str">
        <x:v>Genetic</x:v>
      </x:c>
      <x:c r="E73" s="64" t="str">
        <x:v>Fail</x:v>
      </x:c>
      <x:c r="F73" s="64" t="str">
        <x:v>Fail</x:v>
      </x:c>
      <x:c r="G73" s="64" t="str">
        <x:v>Pass</x:v>
      </x:c>
      <x:c r="H73" s="64" t="str">
        <x:v>Pass</x:v>
      </x:c>
      <x:c r="I73" s="64" t="str">
        <x:v>Pass</x:v>
      </x:c>
      <x:c r="J73" s="64" t="str">
        <x:v>Pass</x:v>
      </x:c>
      <x:c r="K73"/>
    </x:row>
    <x:row r="74" ht="33" customHeight="1">
      <x:c r="A74" s="26" t="str">
        <x:v>BL-0229</x:v>
      </x:c>
      <x:c r="B74" s="64" t="str">
        <x:v>biomni_lab_bench_dbqa_366</x:v>
      </x:c>
      <x:c r="C74" s="64" t="str">
        <x:v>Biomni-Eval</x:v>
      </x:c>
      <x:c r="D74" s="64" t="str">
        <x:v>Genetic</x:v>
      </x:c>
      <x:c r="E74" s="64" t="str">
        <x:v>Fail</x:v>
      </x:c>
      <x:c r="F74" s="64" t="str">
        <x:v>Fail</x:v>
      </x:c>
      <x:c r="G74" s="64" t="str">
        <x:v>Fail</x:v>
      </x:c>
      <x:c r="H74" s="64" t="str">
        <x:v>Fail</x:v>
      </x:c>
      <x:c r="I74" s="64" t="str">
        <x:v>Fail</x:v>
      </x:c>
      <x:c r="J74" s="64" t="str">
        <x:v>Fail</x:v>
      </x:c>
      <x:c r="K74"/>
    </x:row>
    <x:row r="75" ht="33" customHeight="1">
      <x:c r="A75" s="26" t="str">
        <x:v>BL-0230</x:v>
      </x:c>
      <x:c r="B75" s="64" t="str">
        <x:v>biomni_lab_bench_dbqa_264</x:v>
      </x:c>
      <x:c r="C75" s="64" t="str">
        <x:v>Biomni-Eval</x:v>
      </x:c>
      <x:c r="D75" s="64" t="str">
        <x:v>Genetic</x:v>
      </x:c>
      <x:c r="E75" s="64" t="str">
        <x:v>Fail</x:v>
      </x:c>
      <x:c r="F75" s="64" t="str">
        <x:v>Fail</x:v>
      </x:c>
      <x:c r="G75" s="64" t="str">
        <x:v>Pass</x:v>
      </x:c>
      <x:c r="H75" s="64" t="str">
        <x:v>Fail</x:v>
      </x:c>
      <x:c r="I75" s="64" t="str">
        <x:v>Fail</x:v>
      </x:c>
      <x:c r="J75" s="64" t="str">
        <x:v>Fail</x:v>
      </x:c>
      <x:c r="K75"/>
    </x:row>
    <x:row r="76" ht="33" customHeight="1">
      <x:c r="A76" s="26" t="str">
        <x:v>BL-0232</x:v>
      </x:c>
      <x:c r="B76" s="64" t="str">
        <x:v>biomni_lab_bench_dbqa_328</x:v>
      </x:c>
      <x:c r="C76" s="64" t="str">
        <x:v>Biomni-Eval</x:v>
      </x:c>
      <x:c r="D76" s="64" t="str">
        <x:v>Genetic</x:v>
      </x:c>
      <x:c r="E76" s="64" t="str">
        <x:v>Fail</x:v>
      </x:c>
      <x:c r="F76" s="64" t="str">
        <x:v>Fail</x:v>
      </x:c>
      <x:c r="G76" s="64" t="str">
        <x:v>Pass</x:v>
      </x:c>
      <x:c r="H76" s="64" t="str">
        <x:v>Pass</x:v>
      </x:c>
      <x:c r="I76" s="64" t="str">
        <x:v>Pass</x:v>
      </x:c>
      <x:c r="J76" s="64" t="str">
        <x:v>Fail</x:v>
      </x:c>
      <x:c r="K76"/>
    </x:row>
    <x:row r="77" ht="33" customHeight="1">
      <x:c r="A77" s="26" t="str">
        <x:v>BL-0438</x:v>
      </x:c>
      <x:c r="B77" s="64" t="str">
        <x:v>labbench_feea1cdc-a206-4628-9346-22cb9b4e79a2</x:v>
      </x:c>
      <x:c r="C77" s="64" t="str">
        <x:v>LAB-Bench</x:v>
      </x:c>
      <x:c r="D77" s="64" t="str">
        <x:v>Genetic</x:v>
      </x:c>
      <x:c r="E77" s="64" t="str">
        <x:v>Fail</x:v>
      </x:c>
      <x:c r="F77" s="64" t="str">
        <x:v>Fail</x:v>
      </x:c>
      <x:c r="G77" s="64" t="str">
        <x:v>Pass</x:v>
      </x:c>
      <x:c r="H77" s="64" t="str">
        <x:v>Pass</x:v>
      </x:c>
      <x:c r="I77" s="64" t="str">
        <x:v>Pass</x:v>
      </x:c>
      <x:c r="J77" s="64" t="str">
        <x:v>Pass</x:v>
      </x:c>
      <x:c r="K77"/>
    </x:row>
    <x:row r="78" ht="33" customHeight="1">
      <x:c r="A78" s="26" t="str">
        <x:v>BL-0448</x:v>
      </x:c>
      <x:c r="B78" s="64" t="str">
        <x:v>labbench_fa7968cc-5fbd-4ebe-8206-6e31cdb23a9a</x:v>
      </x:c>
      <x:c r="C78" s="64" t="str">
        <x:v>LAB-Bench</x:v>
      </x:c>
      <x:c r="D78" s="64" t="str">
        <x:v>Genetic</x:v>
      </x:c>
      <x:c r="E78" s="64" t="str">
        <x:v>Fail</x:v>
      </x:c>
      <x:c r="F78" s="64" t="str">
        <x:v>Fail</x:v>
      </x:c>
      <x:c r="G78" s="64" t="str">
        <x:v>Pass</x:v>
      </x:c>
      <x:c r="H78" s="64" t="str">
        <x:v>Pass</x:v>
      </x:c>
      <x:c r="I78" s="64" t="str">
        <x:v>Pass</x:v>
      </x:c>
      <x:c r="J78" s="64" t="str">
        <x:v>Pass</x:v>
      </x:c>
      <x:c r="K78"/>
    </x:row>
    <x:row r="79" ht="33" customHeight="1">
      <x:c r="A79" s="26" t="str">
        <x:v>BL-0453</x:v>
      </x:c>
      <x:c r="B79" s="64" t="str">
        <x:v>labbench_de5390af-6ef8-4f20-83b1-0513e698a23a</x:v>
      </x:c>
      <x:c r="C79" s="64" t="str">
        <x:v>LAB-Bench</x:v>
      </x:c>
      <x:c r="D79" s="64" t="str">
        <x:v>Genetic</x:v>
      </x:c>
      <x:c r="E79" s="64" t="str">
        <x:v>Fail</x:v>
      </x:c>
      <x:c r="F79" s="64" t="str">
        <x:v>Fail</x:v>
      </x:c>
      <x:c r="G79" s="64" t="str">
        <x:v>Pass</x:v>
      </x:c>
      <x:c r="H79" s="64" t="str">
        <x:v>Pass</x:v>
      </x:c>
      <x:c r="I79" s="64" t="str">
        <x:v>Pass</x:v>
      </x:c>
      <x:c r="J79" s="64" t="str">
        <x:v>Pass</x:v>
      </x:c>
      <x:c r="K79"/>
    </x:row>
    <x:row r="80" ht="33" customHeight="1">
      <x:c r="A80" s="26" t="str">
        <x:v>BL-0458</x:v>
      </x:c>
      <x:c r="B80" s="64" t="str">
        <x:v>labbench_3e834859-cacb-4b36-8cd5-7a326e2ca60c</x:v>
      </x:c>
      <x:c r="C80" s="64" t="str">
        <x:v>LAB-Bench</x:v>
      </x:c>
      <x:c r="D80" s="64" t="str">
        <x:v>Genetic</x:v>
      </x:c>
      <x:c r="E80" s="64" t="str">
        <x:v>Fail</x:v>
      </x:c>
      <x:c r="F80" s="64" t="str">
        <x:v>Fail</x:v>
      </x:c>
      <x:c r="G80" s="64" t="str">
        <x:v>Pass</x:v>
      </x:c>
      <x:c r="H80" s="64" t="str">
        <x:v>Pass</x:v>
      </x:c>
      <x:c r="I80" s="64" t="str">
        <x:v>Pass</x:v>
      </x:c>
      <x:c r="J80" s="64" t="str">
        <x:v>Pass</x:v>
      </x:c>
      <x:c r="K80"/>
    </x:row>
    <x:row r="81" ht="33" customHeight="1">
      <x:c r="A81" s="26" t="str">
        <x:v>BL-0478</x:v>
      </x:c>
      <x:c r="B81" s="64" t="str">
        <x:v>labbench_7d5070a8-9868-424e-b7ed-be0eda44dee0</x:v>
      </x:c>
      <x:c r="C81" s="64" t="str">
        <x:v>LAB-Bench</x:v>
      </x:c>
      <x:c r="D81" s="64" t="str">
        <x:v>Genetic</x:v>
      </x:c>
      <x:c r="E81" s="64" t="str">
        <x:v>Pass</x:v>
      </x:c>
      <x:c r="F81" s="64" t="str">
        <x:v>Fail</x:v>
      </x:c>
      <x:c r="G81" s="64" t="str">
        <x:v>Pass</x:v>
      </x:c>
      <x:c r="H81" s="64" t="str">
        <x:v>Pass</x:v>
      </x:c>
      <x:c r="I81" s="64" t="str">
        <x:v>Pass</x:v>
      </x:c>
      <x:c r="J81" s="64" t="str">
        <x:v>Pass</x:v>
      </x:c>
      <x:c r="K81"/>
    </x:row>
    <x:row r="82" ht="33" customHeight="1">
      <x:c r="A82" s="26" t="str">
        <x:v>BL-0483</x:v>
      </x:c>
      <x:c r="B82" s="64" t="str">
        <x:v>labbench_a4b43b64-ed28-4220-b5af-8f65f6bb9f40</x:v>
      </x:c>
      <x:c r="C82" s="64" t="str">
        <x:v>LAB-Bench</x:v>
      </x:c>
      <x:c r="D82" s="64" t="str">
        <x:v>Genetic</x:v>
      </x:c>
      <x:c r="E82" s="64" t="str">
        <x:v>Fail</x:v>
      </x:c>
      <x:c r="F82" s="64" t="str">
        <x:v>Fail</x:v>
      </x:c>
      <x:c r="G82" s="64" t="str">
        <x:v>Pass</x:v>
      </x:c>
      <x:c r="H82" s="64" t="str">
        <x:v>Pass</x:v>
      </x:c>
      <x:c r="I82" s="64" t="str">
        <x:v>Pass</x:v>
      </x:c>
      <x:c r="J82" s="64" t="str">
        <x:v>Pass</x:v>
      </x:c>
      <x:c r="K82"/>
    </x:row>
    <x:row r="83" ht="33" customHeight="1">
      <x:c r="A83" s="26" t="str">
        <x:v>BL-0205</x:v>
      </x:c>
      <x:c r="B83" s="64" t="str">
        <x:v>biomni_screen_gene_retrieval_212</x:v>
      </x:c>
      <x:c r="C83" s="64" t="str">
        <x:v>Biomni-Eval</x:v>
      </x:c>
      <x:c r="D83" s="64" t="str">
        <x:v>Genetic</x:v>
      </x:c>
      <x:c r="E83" s="64" t="str">
        <x:v>Pass</x:v>
      </x:c>
      <x:c r="F83" s="64" t="str">
        <x:v>Fail</x:v>
      </x:c>
      <x:c r="G83" s="64" t="str">
        <x:v>Pass</x:v>
      </x:c>
      <x:c r="H83" s="64" t="str">
        <x:v>Pass</x:v>
      </x:c>
      <x:c r="I83" s="64" t="str">
        <x:v>Pass</x:v>
      </x:c>
      <x:c r="J83" s="64" t="str">
        <x:v>Pass</x:v>
      </x:c>
      <x:c r="K83"/>
    </x:row>
    <x:row r="84" ht="33" customHeight="1">
      <x:c r="A84" s="26" t="str">
        <x:v>BL-0208</x:v>
      </x:c>
      <x:c r="B84" s="64" t="str">
        <x:v>biomni_screen_gene_retrieval_80</x:v>
      </x:c>
      <x:c r="C84" s="64" t="str">
        <x:v>Biomni-Eval</x:v>
      </x:c>
      <x:c r="D84" s="64" t="str">
        <x:v>Genetic</x:v>
      </x:c>
      <x:c r="E84" s="64" t="str">
        <x:v>Fail</x:v>
      </x:c>
      <x:c r="F84" s="64" t="str">
        <x:v>Fail</x:v>
      </x:c>
      <x:c r="G84" s="64" t="str">
        <x:v>Pass</x:v>
      </x:c>
      <x:c r="H84" s="64" t="str">
        <x:v>Fail</x:v>
      </x:c>
      <x:c r="I84" s="64" t="str">
        <x:v>Fail</x:v>
      </x:c>
      <x:c r="J84" s="64" t="str">
        <x:v>Fail</x:v>
      </x:c>
      <x:c r="K84"/>
    </x:row>
    <x:row r="85" ht="33" customHeight="1">
      <x:c r="A85" s="26" t="str">
        <x:v>BL-0433</x:v>
      </x:c>
      <x:c r="B85" s="64" t="str">
        <x:v>labbench_39c985ce-70e8-48e4-bd76-744cd07cb56a</x:v>
      </x:c>
      <x:c r="C85" s="64" t="str">
        <x:v>LAB-Bench</x:v>
      </x:c>
      <x:c r="D85" s="64" t="str">
        <x:v>LitQA</x:v>
      </x:c>
      <x:c r="E85" s="64" t="str">
        <x:v>Fail</x:v>
      </x:c>
      <x:c r="F85" s="64" t="str">
        <x:v>Fail</x:v>
      </x:c>
      <x:c r="G85" s="64" t="str">
        <x:v>Pass</x:v>
      </x:c>
      <x:c r="H85" s="64" t="str">
        <x:v>Pass</x:v>
      </x:c>
      <x:c r="I85" s="64" t="str">
        <x:v>Pass</x:v>
      </x:c>
      <x:c r="J85" s="64" t="str">
        <x:v>Pass</x:v>
      </x:c>
      <x:c r="K85"/>
    </x:row>
    <x:row r="86" ht="33" customHeight="1">
      <x:c r="A86" s="26" t="str">
        <x:v>BL-0435</x:v>
      </x:c>
      <x:c r="B86" s="64" t="str">
        <x:v>labbench_76bcaeeb-93bd-4951-99b9-cf4613de1a37</x:v>
      </x:c>
      <x:c r="C86" s="64" t="str">
        <x:v>LAB-Bench</x:v>
      </x:c>
      <x:c r="D86" s="64" t="str">
        <x:v>LitQA</x:v>
      </x:c>
      <x:c r="E86" s="64" t="str">
        <x:v>Fail</x:v>
      </x:c>
      <x:c r="F86" s="64" t="str">
        <x:v>Fail</x:v>
      </x:c>
      <x:c r="G86" s="64" t="str">
        <x:v>Pass</x:v>
      </x:c>
      <x:c r="H86" s="64" t="str">
        <x:v>Pass</x:v>
      </x:c>
      <x:c r="I86" s="64" t="str">
        <x:v>Pass</x:v>
      </x:c>
      <x:c r="J86" s="64" t="str">
        <x:v>Pass</x:v>
      </x:c>
      <x:c r="K86"/>
    </x:row>
    <x:row r="87" ht="33" customHeight="1">
      <x:c r="A87" s="26" t="str">
        <x:v>BL-0488</x:v>
      </x:c>
      <x:c r="B87" s="64" t="str">
        <x:v>labbench_1780adbf-0d7c-4952-be10-a3a8ca8be109</x:v>
      </x:c>
      <x:c r="C87" s="64" t="str">
        <x:v>LAB-Bench</x:v>
      </x:c>
      <x:c r="D87" s="64" t="str">
        <x:v>FigQA</x:v>
      </x:c>
      <x:c r="E87" s="64" t="str">
        <x:v>Fail</x:v>
      </x:c>
      <x:c r="F87" s="64" t="str">
        <x:v>Fail</x:v>
      </x:c>
      <x:c r="G87" s="64" t="str">
        <x:v>Fail</x:v>
      </x:c>
      <x:c r="H87" s="64" t="str">
        <x:v>Fail</x:v>
      </x:c>
      <x:c r="I87" s="64" t="str">
        <x:v>Fail</x:v>
      </x:c>
      <x:c r="J87" s="64" t="str">
        <x:v>Pass</x:v>
      </x:c>
      <x:c r="K87"/>
    </x:row>
    <x:row r="88" ht="33" customHeight="1">
      <x:c r="A88" s="26" t="str">
        <x:v>BL-0491</x:v>
      </x:c>
      <x:c r="B88" s="64" t="str">
        <x:v>labbench_8e16e8ab-d83f-426c-b355-f3ed79eeb575</x:v>
      </x:c>
      <x:c r="C88" s="64" t="str">
        <x:v>LAB-Bench</x:v>
      </x:c>
      <x:c r="D88" s="64" t="str">
        <x:v>FigQA</x:v>
      </x:c>
      <x:c r="E88" s="64" t="str">
        <x:v>Fail</x:v>
      </x:c>
      <x:c r="F88" s="64" t="str">
        <x:v>Fail</x:v>
      </x:c>
      <x:c r="G88" s="64" t="str">
        <x:v>Pass</x:v>
      </x:c>
      <x:c r="H88" s="64" t="str">
        <x:v>Pass</x:v>
      </x:c>
      <x:c r="I88" s="64" t="str">
        <x:v>Pass</x:v>
      </x:c>
      <x:c r="J88" s="64" t="str">
        <x:v>Fail</x:v>
      </x:c>
      <x:c r="K88"/>
    </x:row>
    <x:row r="89" ht="33" customHeight="1">
      <x:c r="A89" s="26" t="str">
        <x:v>BL-0494</x:v>
      </x:c>
      <x:c r="B89" s="64" t="str">
        <x:v>labbench_bd083a6c-b377-4570-aee8-e69fcedfcc50</x:v>
      </x:c>
      <x:c r="C89" s="64" t="str">
        <x:v>LAB-Bench</x:v>
      </x:c>
      <x:c r="D89" s="64" t="str">
        <x:v>TableQA</x:v>
      </x:c>
      <x:c r="E89" s="64" t="str">
        <x:v>Fail</x:v>
      </x:c>
      <x:c r="F89" s="64" t="str">
        <x:v>Fail</x:v>
      </x:c>
      <x:c r="G89" s="64" t="str">
        <x:v>Fail</x:v>
      </x:c>
      <x:c r="H89" s="64" t="str">
        <x:v>Pass</x:v>
      </x:c>
      <x:c r="I89" s="64" t="str">
        <x:v>Pass</x:v>
      </x:c>
      <x:c r="J89" s="64" t="str">
        <x:v>Pass</x:v>
      </x:c>
      <x:c r="K89"/>
    </x:row>
    <x:row r="90" ht="33" customHeight="1">
      <x:c r="A90" s="26" t="str">
        <x:v>BL-0495</x:v>
      </x:c>
      <x:c r="B90" s="64" t="str">
        <x:v>labbench_7db1cd7e-ed76-43e2-bb9d-7d7a981f1e7a</x:v>
      </x:c>
      <x:c r="C90" s="64" t="str">
        <x:v>LAB-Bench</x:v>
      </x:c>
      <x:c r="D90" s="64" t="str">
        <x:v>TableQA</x:v>
      </x:c>
      <x:c r="E90" s="64" t="str">
        <x:v>Fail</x:v>
      </x:c>
      <x:c r="F90" s="64" t="str">
        <x:v>Fail</x:v>
      </x:c>
      <x:c r="G90" s="64" t="str">
        <x:v>Fail</x:v>
      </x:c>
      <x:c r="H90" s="64" t="str">
        <x:v>Pass</x:v>
      </x:c>
      <x:c r="I90" s="64" t="str">
        <x:v>Fail</x:v>
      </x:c>
      <x:c r="J90" s="64" t="str">
        <x:v>Pass</x:v>
      </x:c>
      <x:c r="K90"/>
    </x:row>
    <x:row r="91" ht="33" customHeight="1">
      <x:c r="A91" s="26" t="str">
        <x:v>BL-0562</x:v>
      </x:c>
      <x:c r="B91" s="64" t="str">
        <x:v>labbench_8920c7b7-710f-44f0-8cd1-d360bba41db4</x:v>
      </x:c>
      <x:c r="C91" s="64" t="str">
        <x:v>LAB-Bench</x:v>
      </x:c>
      <x:c r="D91" s="64" t="str">
        <x:v>ProtocolQA</x:v>
      </x:c>
      <x:c r="E91" s="64" t="str">
        <x:v>Pass</x:v>
      </x:c>
      <x:c r="F91" s="64" t="str">
        <x:v>Pass</x:v>
      </x:c>
      <x:c r="G91" s="64" t="str">
        <x:v>Pass</x:v>
      </x:c>
      <x:c r="H91" s="64" t="str">
        <x:v>Pass</x:v>
      </x:c>
      <x:c r="I91" s="64" t="str">
        <x:v>Pass</x:v>
      </x:c>
      <x:c r="J91" s="64" t="str">
        <x:v>Fail</x:v>
      </x:c>
      <x:c r="K91"/>
    </x:row>
    <x:row r="92" ht="33" customHeight="1">
      <x:c r="A92" s="26" t="str">
        <x:v>BL-0566</x:v>
      </x:c>
      <x:c r="B92" s="64" t="str">
        <x:v>labbench_b6b4077d-a0db-4d26-9b3c-57fc469ad431</x:v>
      </x:c>
      <x:c r="C92" s="64" t="str">
        <x:v>LAB-Bench</x:v>
      </x:c>
      <x:c r="D92" s="64" t="str">
        <x:v>SuppQA</x:v>
      </x:c>
      <x:c r="E92" s="64" t="str">
        <x:v>Pass</x:v>
      </x:c>
      <x:c r="F92" s="64" t="str">
        <x:v>Fail</x:v>
      </x:c>
      <x:c r="G92" s="64" t="str">
        <x:v>Pass</x:v>
      </x:c>
      <x:c r="H92" s="64" t="str">
        <x:v>Pass</x:v>
      </x:c>
      <x:c r="I92" s="64" t="str">
        <x:v>Pass</x:v>
      </x:c>
      <x:c r="J92" s="64" t="str">
        <x:v>Pass</x:v>
      </x:c>
      <x:c r="K92"/>
    </x:row>
    <x:row r="93" ht="33" customHeight="1">
      <x:c r="A93" s="26" t="str">
        <x:v>BL-0199</x:v>
      </x:c>
      <x:c r="B93" s="64" t="str">
        <x:v>biomni_gwas_variant_prioritization_63</x:v>
      </x:c>
      <x:c r="C93" s="64" t="str">
        <x:v>Biomni-Eval</x:v>
      </x:c>
      <x:c r="D93" s="64" t="str">
        <x:v>Genetic</x:v>
      </x:c>
      <x:c r="E93" s="64" t="str">
        <x:v>Pass</x:v>
      </x:c>
      <x:c r="F93" s="64" t="str">
        <x:v>Fail</x:v>
      </x:c>
      <x:c r="G93" s="64" t="str">
        <x:v>Pass</x:v>
      </x:c>
      <x:c r="H93" s="64" t="str">
        <x:v>Pass</x:v>
      </x:c>
      <x:c r="I93" s="64" t="str">
        <x:v>Pass</x:v>
      </x:c>
      <x:c r="J93" s="64" t="str">
        <x:v>Pass</x:v>
      </x:c>
      <x:c r="K93"/>
    </x:row>
    <x:row r="94" ht="33" customHeight="1">
      <x:c r="A94" s="26" t="str">
        <x:v>BL-0203</x:v>
      </x:c>
      <x:c r="B94" s="64" t="str">
        <x:v>biomni_gwas_variant_prioritization_188</x:v>
      </x:c>
      <x:c r="C94" s="64" t="str">
        <x:v>Biomni-Eval</x:v>
      </x:c>
      <x:c r="D94" s="64" t="str">
        <x:v>Genetic</x:v>
      </x:c>
      <x:c r="E94" s="64" t="str">
        <x:v>Fail</x:v>
      </x:c>
      <x:c r="F94" s="64" t="str">
        <x:v>Fail</x:v>
      </x:c>
      <x:c r="G94" s="64" t="str">
        <x:v>Pass</x:v>
      </x:c>
      <x:c r="H94" s="64" t="str">
        <x:v>Pass</x:v>
      </x:c>
      <x:c r="I94" s="64" t="str">
        <x:v>Pass</x:v>
      </x:c>
      <x:c r="J94" s="64" t="str">
        <x:v>Pass</x:v>
      </x:c>
      <x:c r="K94"/>
    </x:row>
    <x:row r="95" ht="33" customHeight="1">
      <x:c r="A95" s="26" t="str">
        <x:v>BL-0214</x:v>
      </x:c>
      <x:c r="B95" s="64" t="str">
        <x:v>biomni_patient_gene_detection_201</x:v>
      </x:c>
      <x:c r="C95" s="64" t="str">
        <x:v>Biomni-Eval</x:v>
      </x:c>
      <x:c r="D95" s="64" t="str">
        <x:v>Genetic</x:v>
      </x:c>
      <x:c r="E95" s="64" t="str">
        <x:v>Fail</x:v>
      </x:c>
      <x:c r="F95" s="64" t="str">
        <x:v>Fail</x:v>
      </x:c>
      <x:c r="G95" s="64" t="str">
        <x:v>Pass</x:v>
      </x:c>
      <x:c r="H95" s="64" t="str">
        <x:v>Fail</x:v>
      </x:c>
      <x:c r="I95" s="64" t="str">
        <x:v>Fail</x:v>
      </x:c>
      <x:c r="J95" s="64" t="str">
        <x:v>Pass</x:v>
      </x:c>
      <x:c r="K95"/>
    </x:row>
    <x:row r="96" ht="33" customHeight="1">
      <x:c r="A96" s="26" t="str">
        <x:v>BL-0217</x:v>
      </x:c>
      <x:c r="B96" s="64" t="str">
        <x:v>biomni_patient_gene_detection_34</x:v>
      </x:c>
      <x:c r="C96" s="64" t="str">
        <x:v>Biomni-Eval</x:v>
      </x:c>
      <x:c r="D96" s="64" t="str">
        <x:v>Genetic</x:v>
      </x:c>
      <x:c r="E96" s="64" t="str">
        <x:v>Fail</x:v>
      </x:c>
      <x:c r="F96" s="64" t="str">
        <x:v>Fail</x:v>
      </x:c>
      <x:c r="G96" s="64" t="str">
        <x:v>Fail</x:v>
      </x:c>
      <x:c r="H96" s="64" t="str">
        <x:v>Pass</x:v>
      </x:c>
      <x:c r="I96" s="64" t="str">
        <x:v>Fail</x:v>
      </x:c>
      <x:c r="J96" s="64" t="str">
        <x:v>Pass</x:v>
      </x:c>
      <x:c r="K96"/>
    </x:row>
    <x:row r="97" ht="33" customHeight="1">
      <x:c r="A97" s="26" t="str">
        <x:v>BL-0222</x:v>
      </x:c>
      <x:c r="B97" s="64" t="str">
        <x:v>biomni_gwas_causal_gene_pharmaprojects_821</x:v>
      </x:c>
      <x:c r="C97" s="64" t="str">
        <x:v>Biomni-Eval</x:v>
      </x:c>
      <x:c r="D97" s="64" t="str">
        <x:v>Genetic</x:v>
      </x:c>
      <x:c r="E97" s="64" t="str">
        <x:v>Fail</x:v>
      </x:c>
      <x:c r="F97" s="64" t="str">
        <x:v>Fail</x:v>
      </x:c>
      <x:c r="G97" s="64" t="str">
        <x:v>Pass</x:v>
      </x:c>
      <x:c r="H97" s="64" t="str">
        <x:v>Pass</x:v>
      </x:c>
      <x:c r="I97" s="64" t="str">
        <x:v>Pass</x:v>
      </x:c>
      <x:c r="J97" s="64" t="str">
        <x:v>Fail</x:v>
      </x:c>
      <x:c r="K97"/>
    </x:row>
    <x:row r="98" ht="33" customHeight="1">
      <x:c r="A98" s="26" t="str">
        <x:v>BL-0224</x:v>
      </x:c>
      <x:c r="B98" s="64" t="str">
        <x:v>biomni_rare_disease_diagnosis_132</x:v>
      </x:c>
      <x:c r="C98" s="64" t="str">
        <x:v>Biomni-Eval</x:v>
      </x:c>
      <x:c r="D98" s="64" t="str">
        <x:v>Genetic</x:v>
      </x:c>
      <x:c r="E98" s="64" t="str">
        <x:v>Fail</x:v>
      </x:c>
      <x:c r="F98" s="64" t="str">
        <x:v>Fail</x:v>
      </x:c>
      <x:c r="G98" s="64" t="str">
        <x:v>Pass</x:v>
      </x:c>
      <x:c r="H98" s="64" t="str">
        <x:v>Pass</x:v>
      </x:c>
      <x:c r="I98" s="64" t="str">
        <x:v>Fail</x:v>
      </x:c>
      <x:c r="J98" s="64" t="str">
        <x:v>Pass</x:v>
      </x:c>
      <x:c r="K98"/>
    </x:row>
    <x:row r="99" ht="33" customHeight="1">
      <x:c r="A99" s="26" t="str">
        <x:v>BL-0226</x:v>
      </x:c>
      <x:c r="B99" s="64" t="str">
        <x:v>biomni_rare_disease_diagnosis_121</x:v>
      </x:c>
      <x:c r="C99" s="64" t="str">
        <x:v>Biomni-Eval</x:v>
      </x:c>
      <x:c r="D99" s="64" t="str">
        <x:v>Genetic</x:v>
      </x:c>
      <x:c r="E99" s="64" t="str">
        <x:v>Fail</x:v>
      </x:c>
      <x:c r="F99" s="64" t="str">
        <x:v>Fail</x:v>
      </x:c>
      <x:c r="G99" s="64" t="str">
        <x:v>Pass</x:v>
      </x:c>
      <x:c r="H99" s="64" t="str">
        <x:v>Pass</x:v>
      </x:c>
      <x:c r="I99" s="64" t="str">
        <x:v>Fail</x:v>
      </x:c>
      <x:c r="J99" s="64" t="str">
        <x:v>Pass</x:v>
      </x:c>
      <x:c r="K99"/>
    </x:row>
    <x:row r="100" ht="33" customHeight="1">
      <x:c r="A100" s="26" t="str">
        <x:v>BL-0233</x:v>
      </x:c>
      <x:c r="B100" s="64" t="str">
        <x:v>biomni_gwas_causal_gene_opentargets_619</x:v>
      </x:c>
      <x:c r="C100" s="64" t="str">
        <x:v>Biomni-Eval</x:v>
      </x:c>
      <x:c r="D100" s="64" t="str">
        <x:v>Genetic</x:v>
      </x:c>
      <x:c r="E100" s="64" t="str">
        <x:v>Pass</x:v>
      </x:c>
      <x:c r="F100" s="64" t="str">
        <x:v>Fail</x:v>
      </x:c>
      <x:c r="G100" s="64" t="str">
        <x:v>Pass</x:v>
      </x:c>
      <x:c r="H100" s="64" t="str">
        <x:v>Pass</x:v>
      </x:c>
      <x:c r="I100" s="64" t="str">
        <x:v>Pass</x:v>
      </x:c>
      <x:c r="J100" s="64" t="str">
        <x:v>Pass</x:v>
      </x:c>
      <x:c r="K100"/>
    </x:row>
    <x:row r="101" ht="33" customHeight="1">
      <x:c r="A101" s="26" t="str">
        <x:v>BL-0235</x:v>
      </x:c>
      <x:c r="B101" s="64" t="str">
        <x:v>biomni_gwas_causal_gene_opentargets_761</x:v>
      </x:c>
      <x:c r="C101" s="64" t="str">
        <x:v>Biomni-Eval</x:v>
      </x:c>
      <x:c r="D101" s="64" t="str">
        <x:v>Genetic</x:v>
      </x:c>
      <x:c r="E101" s="64" t="str">
        <x:v>Fail</x:v>
      </x:c>
      <x:c r="F101" s="64" t="str">
        <x:v>Fail</x:v>
      </x:c>
      <x:c r="G101" s="64" t="str">
        <x:v>Fail</x:v>
      </x:c>
      <x:c r="H101" s="64" t="str">
        <x:v>Fail</x:v>
      </x:c>
      <x:c r="I101" s="64" t="str">
        <x:v>Fail</x:v>
      </x:c>
      <x:c r="J101" s="64" t="str">
        <x:v>Fail</x:v>
      </x:c>
      <x:c r="K101"/>
    </x:row>
    <x:row r="102" ht="33" customHeight="1">
      <x:c r="A102" s="30" t="str">
        <x:v>BL-0238</x:v>
      </x:c>
      <x:c r="B102" s="31" t="str">
        <x:v>biomni_gwas_causal_gene_gwas_catalog_240</x:v>
      </x:c>
      <x:c r="C102" s="31" t="str">
        <x:v>Biomni-Eval</x:v>
      </x:c>
      <x:c r="D102" s="31" t="str">
        <x:v>Genetic</x:v>
      </x:c>
      <x:c r="E102" s="31" t="str">
        <x:v>Fail</x:v>
      </x:c>
      <x:c r="F102" s="31" t="str">
        <x:v>Fail</x:v>
      </x:c>
      <x:c r="G102" s="31" t="str">
        <x:v>Pass</x:v>
      </x:c>
      <x:c r="H102" s="31" t="str">
        <x:v>Pass</x:v>
      </x:c>
      <x:c r="I102" s="31" t="str">
        <x:v>Pass</x:v>
      </x:c>
      <x:c r="J102" s="31" t="str">
        <x:v>Fail</x:v>
      </x:c>
      <x:c r="K102"/>
    </x:row>
    <x:row r="103" ht="22.5" customHeight="1">
      <x:c r="A103"/>
      <x:c r="B103"/>
      <x:c r="C103"/>
      <x:c r="D103"/>
      <x:c r="E103"/>
      <x:c r="F103"/>
      <x:c r="G103"/>
      <x:c r="H103"/>
      <x:c r="I103"/>
      <x:c r="J103"/>
      <x:c r="K103"/>
    </x:row>
    <x:row r="104" ht="28.5" customHeight="1">
      <x:c r="A104"/>
      <x:c r="B104"/>
      <x:c r="C104"/>
      <x:c r="D104"/>
      <x:c r="E104"/>
      <x:c r="F104"/>
      <x:c r="G104"/>
      <x:c r="H104"/>
      <x:c r="I104"/>
      <x:c r="J104"/>
      <x:c r="K104"/>
    </x:row>
    <x:row r="105" ht="28.5" customHeight="1">
      <x:c r="A105"/>
      <x:c r="B105"/>
      <x:c r="C105"/>
      <x:c r="D105"/>
      <x:c r="E105"/>
      <x:c r="F105"/>
      <x:c r="G105"/>
      <x:c r="H105"/>
      <x:c r="I105"/>
      <x:c r="J105"/>
      <x:c r="K105"/>
    </x:row>
    <x:row r="106" ht="25.5" customHeight="1">
      <x:c r="A106"/>
      <x:c r="B106"/>
      <x:c r="C106"/>
      <x:c r="D106"/>
      <x:c r="E106"/>
      <x:c r="F106"/>
      <x:c r="G106"/>
      <x:c r="H106"/>
      <x:c r="I106"/>
      <x:c r="J106"/>
      <x:c r="K106"/>
    </x:row>
  </x:sheetData>
  <x:mergeCells>
    <x:mergeCell ref="A1:J1"/>
  </x:mergeCells>
  <x:dataValidations count="1">
    <x:dataValidation type="list" sqref="E3:J102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e75c0486514335"/>
  </x:tableParts>
</x:worksheet>
</file>