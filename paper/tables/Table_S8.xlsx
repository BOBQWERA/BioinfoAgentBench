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05ef02307b4ac6" /></Relationships>
</file>

<file path=xl/workbook.xml><?xml version="1.0" encoding="utf-8"?>
<x:workbook xmlns:x="http://schemas.openxmlformats.org/spreadsheetml/2006/main">
  <x:sheets>
    <x:sheet xmlns:r="http://schemas.openxmlformats.org/officeDocument/2006/relationships" name="Case-level scores" sheetId="1" r:id="R9bbdf4e106e34b47"/>
    <x:sheet xmlns:r="http://schemas.openxmlformats.org/officeDocument/2006/relationships" name="F1 Approaching" sheetId="2" r:id="R89d46e42396046cc"/>
    <x:sheet xmlns:r="http://schemas.openxmlformats.org/officeDocument/2006/relationships" name="F2 Reproducing" sheetId="3" r:id="R478ff353defb484a"/>
    <x:sheet xmlns:r="http://schemas.openxmlformats.org/officeDocument/2006/relationships" name="F3 Exceeding" sheetId="4" r:id="R4b5931200fec47e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0"/>
    <x:numFmt numFmtId="202" formatCode="0"/>
    <x:numFmt numFmtId="203" formatCode="0.000000"/>
  </x:numFmts>
  <x:fonts count="5">
    <x:font>
      <x:sz val="11"/>
      <x:name val="Carlito"/>
    </x:font>
    <x:font>
      <x:sz val="11"/>
      <x:color rgb="FF171717"/>
      <x:name val="Arial"/>
    </x:font>
    <x:font>
      <x:b/>
      <x:sz val="14"/>
      <x:color rgb="FF171717"/>
      <x:name val="Arial"/>
    </x:font>
    <x:font>
      <x:b/>
      <x:sz val="11"/>
      <x:color rgb="FF171717"/>
      <x:name val="Arial"/>
    </x:font>
    <x:font>
      <x:b/>
      <x:sz val="12"/>
      <x:color rgb="FF171717"/>
      <x:name val="Arial"/>
    </x:font>
  </x:fonts>
  <x:fills count="3">
    <x:fill>
      <x:patternFill patternType="none"/>
    </x:fill>
    <x:fill>
      <x:patternFill patternType="gray125"/>
    </x:fill>
    <x:fill>
      <x:patternFill patternType="solid">
        <x:fgColor rgb="FFFFFFFF"/>
      </x:patternFill>
    </x:fill>
  </x:fills>
  <x:borders count="15">
    <x:border/>
    <x:border>
      <x:right style="thin">
        <x:color rgb="FFCCCCCC"/>
      </x:right>
      <x:top style="medium">
        <x:color rgb="FF222222"/>
      </x:top>
      <x:bottom style="thin">
        <x:color rgb="FF555555"/>
      </x:bottom>
    </x:border>
    <x:border>
      <x:left style="thin">
        <x:color rgb="FFCCCCCC"/>
      </x:left>
      <x:right style="thin">
        <x:color rgb="FFCCCCCC"/>
      </x:right>
      <x:top style="medium">
        <x:color rgb="FF222222"/>
      </x:top>
      <x:bottom style="thin">
        <x:color rgb="FF555555"/>
      </x:bottom>
    </x:border>
    <x:border>
      <x:left style="thin">
        <x:color rgb="FFCCCCCC"/>
      </x:left>
      <x:top style="medium">
        <x:color rgb="FF222222"/>
      </x:top>
      <x:bottom style="thin">
        <x:color rgb="FF555555"/>
      </x:bottom>
    </x:border>
    <x:border>
      <x:right style="thin">
        <x:color rgb="FFE0E0E0"/>
      </x:right>
      <x:bottom style="thin">
        <x:color rgb="FFBBBBBB"/>
      </x:bottom>
    </x:border>
    <x:border>
      <x:left style="thin">
        <x:color rgb="FFE0E0E0"/>
      </x:left>
      <x:right style="thin">
        <x:color rgb="FFE0E0E0"/>
      </x:right>
      <x:bottom style="thin">
        <x:color rgb="FFBBBBBB"/>
      </x:bottom>
    </x:border>
    <x:border>
      <x:left style="thin">
        <x:color rgb="FFE0E0E0"/>
      </x:left>
      <x:bottom style="thin">
        <x:color rgb="FFBBBBBB"/>
      </x:bottom>
    </x:border>
    <x:border>
      <x:right style="thin">
        <x:color rgb="FFE0E0E0"/>
      </x:right>
      <x:top style="thin">
        <x:color rgb="FFBBBBBB"/>
      </x:top>
      <x:bottom style="thin">
        <x:color rgb="FFBBBBBB"/>
      </x:bottom>
    </x:border>
    <x:border>
      <x:left style="thin">
        <x:color rgb="FFE0E0E0"/>
      </x:left>
      <x:right style="thin">
        <x:color rgb="FFE0E0E0"/>
      </x:right>
      <x:top style="thin">
        <x:color rgb="FFBBBBBB"/>
      </x:top>
      <x:bottom style="thin">
        <x:color rgb="FFBBBBBB"/>
      </x:bottom>
    </x:border>
    <x:border>
      <x:left style="thin">
        <x:color rgb="FFE0E0E0"/>
      </x:left>
      <x:top style="thin">
        <x:color rgb="FFBBBBBB"/>
      </x:top>
      <x:bottom style="thin">
        <x:color rgb="FFBBBBBB"/>
      </x:bottom>
    </x:border>
    <x:border>
      <x:right style="thin">
        <x:color rgb="FFE0E0E0"/>
      </x:right>
      <x:top style="thin">
        <x:color rgb="FFBBBBBB"/>
      </x:top>
      <x:bottom style="medium">
        <x:color rgb="FF333333"/>
      </x:bottom>
    </x:border>
    <x:border>
      <x:left style="thin">
        <x:color rgb="FFE0E0E0"/>
      </x:left>
      <x:right style="thin">
        <x:color rgb="FFE0E0E0"/>
      </x:right>
      <x:top style="thin">
        <x:color rgb="FFBBBBBB"/>
      </x:top>
      <x:bottom style="medium">
        <x:color rgb="FF333333"/>
      </x:bottom>
    </x:border>
    <x:border>
      <x:left style="thin">
        <x:color rgb="FFE0E0E0"/>
      </x:left>
      <x:top style="thin">
        <x:color rgb="FFBBBBBB"/>
      </x:top>
      <x:bottom style="medium">
        <x:color rgb="FF333333"/>
      </x:bottom>
    </x:border>
    <x:border>
      <x:right style="thin">
        <x:color rgb="FFE0E0E0"/>
      </x:right>
      <x:top style="medium">
        <x:color rgb="FF888888"/>
      </x:top>
      <x:bottom style="thin">
        <x:color rgb="FFBBBBBB"/>
      </x:bottom>
    </x:border>
    <x:border>
      <x:left style="thin">
        <x:color rgb="FFE0E0E0"/>
      </x:left>
      <x:right style="thin">
        <x:color rgb="FFE0E0E0"/>
      </x:right>
      <x:top style="medium">
        <x:color rgb="FF888888"/>
      </x:top>
      <x:bottom style="thin">
        <x:color rgb="FFBBBBBB"/>
      </x:bottom>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left" vertical="center" wrapText="1"/>
    </x:xf>
    <x:xf numFmtId="200" fontId="1" fillId="2" borderId="0" xfId="0" applyNumberFormat="1" applyFont="1" applyFill="1" applyBorder="1" applyAlignment="1">
      <x:alignment horizontal="left" vertical="center" wrapText="1"/>
    </x:xf>
    <x:xf numFmtId="200" fontId="1" fillId="2" borderId="0" xfId="0" applyNumberFormat="1" applyFont="1" applyFill="1" applyBorder="1" applyAlignment="1">
      <x:alignment horizontal="right" vertical="center" wrapText="1"/>
    </x:xf>
    <x:xf numFmtId="0" fontId="3" fillId="2" borderId="0" xfId="0" applyNumberFormat="1" applyFont="1" applyFill="1" applyBorder="1" applyAlignment="1">
      <x:alignment horizontal="left" vertical="center" wrapText="1"/>
    </x:xf>
    <x:xf numFmtId="0" fontId="3" fillId="2" borderId="1" xfId="0" applyNumberFormat="1" applyFont="1" applyFill="1" applyBorder="1" applyAlignment="1">
      <x:alignment horizontal="left" vertical="center" wrapText="1"/>
    </x:xf>
    <x:xf numFmtId="0" fontId="3" fillId="2" borderId="2" xfId="0" applyNumberFormat="1" applyFont="1" applyFill="1" applyBorder="1" applyAlignment="1">
      <x:alignment horizontal="left" vertical="center" wrapText="1"/>
    </x:xf>
    <x:xf numFmtId="0" fontId="3" fillId="2" borderId="3" xfId="0" applyNumberFormat="1" applyFont="1" applyFill="1" applyBorder="1" applyAlignment="1">
      <x:alignment horizontal="left" vertic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left" vertical="center" wrapText="1"/>
    </x:xf>
    <x:xf numFmtId="200" fontId="1" fillId="2" borderId="5" xfId="0" applyNumberFormat="1" applyFont="1" applyFill="1" applyBorder="1" applyAlignment="1">
      <x:alignment horizontal="right" vertical="center" wrapText="1"/>
    </x:xf>
    <x:xf numFmtId="200" fontId="1" fillId="2" borderId="6" xfId="0" applyNumberFormat="1" applyFont="1" applyFill="1" applyBorder="1" applyAlignment="1">
      <x:alignment horizontal="right" vertical="center" wrapText="1"/>
    </x:xf>
    <x:xf numFmtId="0" fontId="3" fillId="2" borderId="7" xfId="0" applyNumberFormat="1" applyFont="1" applyFill="1" applyBorder="1" applyAlignment="1">
      <x:alignment horizontal="left" vertical="center" wrapText="1"/>
    </x:xf>
    <x:xf numFmtId="200" fontId="1" fillId="2" borderId="8" xfId="0" applyNumberFormat="1" applyFont="1" applyFill="1" applyBorder="1" applyAlignment="1">
      <x:alignment horizontal="right" vertical="center" wrapText="1"/>
    </x:xf>
    <x:xf numFmtId="200" fontId="1" fillId="2" borderId="9" xfId="0" applyNumberFormat="1" applyFont="1" applyFill="1" applyBorder="1" applyAlignment="1">
      <x:alignment horizontal="right" vertical="center" wrapText="1"/>
    </x:xf>
    <x:xf numFmtId="0" fontId="3" fillId="2" borderId="10" xfId="0" applyNumberFormat="1" applyFont="1" applyFill="1" applyBorder="1" applyAlignment="1">
      <x:alignment horizontal="left" vertical="center" wrapText="1"/>
    </x:xf>
    <x:xf numFmtId="200" fontId="1" fillId="2" borderId="11" xfId="0" applyNumberFormat="1" applyFont="1" applyFill="1" applyBorder="1" applyAlignment="1">
      <x:alignment horizontal="right" vertical="center" wrapText="1"/>
    </x:xf>
    <x:xf numFmtId="200" fontId="1" fillId="2" borderId="12" xfId="0" applyNumberFormat="1" applyFont="1" applyFill="1" applyBorder="1" applyAlignment="1">
      <x:alignment horizontal="right" vertical="center" wrapText="1"/>
    </x:xf>
    <x:xf numFmtId="0" fontId="4" fillId="2" borderId="0" xfId="0" applyNumberFormat="1" applyFont="1" applyFill="1" applyBorder="1" applyAlignment="1">
      <x:alignment horizontal="left" vertical="center" wrapText="1"/>
    </x:xf>
    <x:xf numFmtId="201" fontId="1" fillId="2" borderId="0" xfId="0" applyNumberFormat="1" applyFont="1" applyFill="1" applyBorder="1" applyAlignment="1">
      <x:alignment horizontal="left" vertical="center" wrapText="1"/>
    </x:xf>
    <x:xf numFmtId="201" fontId="1" fillId="2" borderId="0" xfId="0" applyNumberFormat="1" applyFont="1" applyFill="1" applyBorder="1" applyAlignment="1">
      <x:alignment horizontal="righ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201" fontId="1" fillId="2" borderId="5" xfId="0" applyNumberFormat="1" applyFont="1" applyFill="1" applyBorder="1" applyAlignment="1">
      <x:alignment horizontal="right" vertical="center" wrapText="1"/>
    </x:xf>
    <x:xf numFmtId="0" fontId="1" fillId="2" borderId="6" xfId="0" applyNumberFormat="1" applyFont="1" applyFill="1" applyBorder="1" applyAlignment="1">
      <x:alignment horizontal="left" vertical="center" wrapText="1"/>
    </x:xf>
    <x:xf numFmtId="0" fontId="1" fillId="2" borderId="7" xfId="0" applyNumberFormat="1" applyFont="1" applyFill="1" applyBorder="1" applyAlignment="1">
      <x:alignment horizontal="left" vertical="center" wrapText="1"/>
    </x:xf>
    <x:xf numFmtId="0" fontId="1" fillId="2" borderId="8" xfId="0" applyNumberFormat="1" applyFont="1" applyFill="1" applyBorder="1" applyAlignment="1">
      <x:alignment horizontal="left" vertical="center" wrapText="1"/>
    </x:xf>
    <x:xf numFmtId="201" fontId="1" fillId="2" borderId="8" xfId="0" applyNumberFormat="1" applyFont="1" applyFill="1" applyBorder="1" applyAlignment="1">
      <x:alignment horizontal="right" vertical="center" wrapText="1"/>
    </x:xf>
    <x:xf numFmtId="0" fontId="1" fillId="2" borderId="9" xfId="0" applyNumberFormat="1" applyFont="1" applyFill="1" applyBorder="1" applyAlignment="1">
      <x:alignment horizontal="left" vertical="center" wrapText="1"/>
    </x:xf>
    <x:xf numFmtId="0" fontId="1" fillId="2" borderId="10" xfId="0" applyNumberFormat="1" applyFont="1" applyFill="1" applyBorder="1" applyAlignment="1">
      <x:alignment horizontal="left" vertical="center" wrapText="1"/>
    </x:xf>
    <x:xf numFmtId="0" fontId="1" fillId="2" borderId="11" xfId="0" applyNumberFormat="1" applyFont="1" applyFill="1" applyBorder="1" applyAlignment="1">
      <x:alignment horizontal="left" vertical="center" wrapText="1"/>
    </x:xf>
    <x:xf numFmtId="201" fontId="1" fillId="2" borderId="11" xfId="0" applyNumberFormat="1" applyFont="1" applyFill="1" applyBorder="1" applyAlignment="1">
      <x:alignment horizontal="right" vertical="center" wrapText="1"/>
    </x:xf>
    <x:xf numFmtId="0" fontId="1" fillId="2" borderId="12" xfId="0" applyNumberFormat="1" applyFont="1" applyFill="1" applyBorder="1" applyAlignment="1">
      <x:alignment horizontal="left" vertical="center" wrapText="1"/>
    </x:xf>
    <x:xf numFmtId="0" fontId="1" fillId="2" borderId="13" xfId="0" applyNumberFormat="1" applyFont="1" applyFill="1" applyBorder="1" applyAlignment="1">
      <x:alignment horizontal="left" vertical="center" wrapText="1"/>
    </x:xf>
    <x:xf numFmtId="0" fontId="1" fillId="2" borderId="14" xfId="0" applyNumberFormat="1" applyFont="1" applyFill="1" applyBorder="1" applyAlignment="1">
      <x:alignment horizontal="left" vertical="center" wrapText="1"/>
    </x:xf>
    <x:xf numFmtId="202" fontId="1" fillId="2" borderId="14" xfId="0" applyNumberFormat="1" applyFont="1" applyFill="1" applyBorder="1" applyAlignment="1">
      <x:alignment horizontal="left" vertical="center" wrapText="1"/>
    </x:xf>
    <x:xf numFmtId="202" fontId="1" fillId="2" borderId="8" xfId="0" applyNumberFormat="1" applyFont="1" applyFill="1" applyBorder="1" applyAlignment="1">
      <x:alignment horizontal="left" vertical="center" wrapText="1"/>
    </x:xf>
    <x:xf numFmtId="202" fontId="1" fillId="2" borderId="11" xfId="0" applyNumberFormat="1" applyFont="1" applyFill="1" applyBorder="1" applyAlignment="1">
      <x:alignment horizontal="left" vertical="center" wrapText="1"/>
    </x:xf>
    <x:xf numFmtId="202" fontId="1" fillId="2" borderId="14" xfId="0" applyNumberFormat="1" applyFont="1" applyFill="1" applyBorder="1" applyAlignment="1">
      <x:alignment horizontal="center" vertical="center" wrapText="1"/>
    </x:xf>
    <x:xf numFmtId="202" fontId="1" fillId="2" borderId="8" xfId="0" applyNumberFormat="1" applyFont="1" applyFill="1" applyBorder="1" applyAlignment="1">
      <x:alignment horizontal="center" vertical="center" wrapText="1"/>
    </x:xf>
    <x:xf numFmtId="202" fontId="1" fillId="2" borderId="11" xfId="0" applyNumberFormat="1" applyFont="1" applyFill="1" applyBorder="1" applyAlignment="1">
      <x:alignment horizontal="center" vertical="center" wrapText="1"/>
    </x:xf>
    <x:xf numFmtId="203" fontId="1" fillId="2" borderId="8" xfId="0" applyNumberFormat="1" applyFont="1" applyFill="1" applyBorder="1" applyAlignment="1">
      <x:alignment horizontal="left" vertical="center" wrapText="1"/>
    </x:xf>
    <x:xf numFmtId="203" fontId="1" fillId="2" borderId="14" xfId="0" applyNumberFormat="1" applyFont="1" applyFill="1" applyBorder="1" applyAlignment="1">
      <x:alignment horizontal="left" vertical="center" wrapText="1"/>
    </x:xf>
    <x:xf numFmtId="203" fontId="1" fillId="2" borderId="11" xfId="0" applyNumberFormat="1" applyFont="1" applyFill="1" applyBorder="1" applyAlignment="1">
      <x:alignment horizontal="left" vertical="center" wrapText="1"/>
    </x:xf>
    <x:xf numFmtId="201" fontId="1" fillId="2" borderId="14" xfId="0" applyNumberFormat="1" applyFont="1" applyFill="1" applyBorder="1" applyAlignment="1">
      <x:alignment horizontal="left" vertical="center" wrapText="1"/>
    </x:xf>
    <x:xf numFmtId="201" fontId="1" fillId="2" borderId="8" xfId="0" applyNumberFormat="1" applyFont="1" applyFill="1" applyBorder="1" applyAlignment="1">
      <x:alignment horizontal="left" vertical="center" wrapText="1"/>
    </x:xf>
    <x:xf numFmtId="201" fontId="1" fillId="2" borderId="11" xfId="0" applyNumberFormat="1" applyFont="1" applyFill="1" applyBorder="1" applyAlignment="1">
      <x:alignment horizontal="left" vertical="center" wrapText="1"/>
    </x:xf>
    <x:xf numFmtId="202" fontId="1" fillId="2" borderId="14" xfId="0" applyNumberFormat="1" applyFont="1" applyFill="1" applyBorder="1" applyAlignment="1">
      <x:alignment horizontal="right" vertical="center" wrapText="1"/>
    </x:xf>
    <x:xf numFmtId="0" fontId="1" fillId="2" borderId="14" xfId="0" applyNumberFormat="1" applyFont="1" applyFill="1" applyBorder="1" applyAlignment="1">
      <x:alignment horizontal="right" vertical="center" wrapText="1"/>
    </x:xf>
    <x:xf numFmtId="201" fontId="1" fillId="2" borderId="14" xfId="0" applyNumberFormat="1" applyFont="1" applyFill="1" applyBorder="1" applyAlignment="1">
      <x:alignment horizontal="right" vertical="center" wrapText="1"/>
    </x:xf>
    <x:xf numFmtId="202" fontId="1" fillId="2" borderId="8" xfId="0" applyNumberFormat="1" applyFont="1" applyFill="1" applyBorder="1" applyAlignment="1">
      <x:alignment horizontal="right" vertical="center" wrapText="1"/>
    </x:xf>
    <x:xf numFmtId="0" fontId="1" fillId="2" borderId="8" xfId="0" applyNumberFormat="1" applyFont="1" applyFill="1" applyBorder="1" applyAlignment="1">
      <x:alignment horizontal="right" vertical="center" wrapText="1"/>
    </x:xf>
    <x:xf numFmtId="203" fontId="1" fillId="2" borderId="8" xfId="0" applyNumberFormat="1" applyFont="1" applyFill="1" applyBorder="1" applyAlignment="1">
      <x:alignment horizontal="right" vertical="center" wrapText="1"/>
    </x:xf>
    <x:xf numFmtId="203" fontId="1" fillId="2" borderId="14" xfId="0" applyNumberFormat="1" applyFont="1" applyFill="1" applyBorder="1" applyAlignment="1">
      <x:alignment horizontal="right" vertical="center" wrapText="1"/>
    </x:xf>
    <x:xf numFmtId="203" fontId="1" fillId="2" borderId="11" xfId="0" applyNumberFormat="1" applyFont="1" applyFill="1" applyBorder="1" applyAlignment="1">
      <x:alignment horizontal="right" vertical="center" wrapText="1"/>
    </x:xf>
    <x:xf numFmtId="0" fontId="1" fillId="2" borderId="11" xfId="0" applyNumberFormat="1" applyFont="1" applyFill="1" applyBorder="1" applyAlignment="1">
      <x:alignment horizontal="right" vertical="center" wrapText="1"/>
    </x:xf>
    <x:xf numFmtId="202" fontId="1" fillId="2" borderId="11" xfId="0" applyNumberFormat="1" applyFont="1" applyFill="1" applyBorder="1" applyAlignment="1">
      <x:alignment horizontal="right" vertical="center" wrapText="1"/>
    </x:xf>
    <x:xf numFmtId="0" fontId="1" fillId="2" borderId="14" xfId="0" applyNumberFormat="1" applyFont="1" applyFill="1" applyBorder="1" applyAlignment="1">
      <x:alignment horizontal="center" vertical="center" wrapText="1"/>
    </x:xf>
    <x:xf numFmtId="0" fontId="1" fillId="2" borderId="8"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762e1b71a3475a" /><Relationship Type="http://schemas.openxmlformats.org/officeDocument/2006/relationships/theme" Target="/xl/theme/theme1.xml" Id="Ra96860e225104f42" /><Relationship Type="http://schemas.openxmlformats.org/officeDocument/2006/relationships/sharedStrings" Target="/xl/sharedStrings.xml" Id="Reea95b4488204595" /><Relationship Type="http://schemas.openxmlformats.org/officeDocument/2006/relationships/worksheet" Target="/xl/worksheets/sheet1.xml" Id="R9bbdf4e106e34b47" /><Relationship Type="http://schemas.openxmlformats.org/officeDocument/2006/relationships/worksheet" Target="/xl/worksheets/sheet2.xml" Id="R89d46e42396046cc" /><Relationship Type="http://schemas.openxmlformats.org/officeDocument/2006/relationships/worksheet" Target="/xl/worksheets/sheet3.xml" Id="R478ff353defb484a" /><Relationship Type="http://schemas.openxmlformats.org/officeDocument/2006/relationships/worksheet" Target="/xl/worksheets/sheet4.xml" Id="R4b5931200fec47e9" /></Relationships>
</file>

<file path=xl/tables/table1.xml><?xml version="1.0" encoding="utf-8"?>
<x:table xmlns:x="http://schemas.openxmlformats.org/spreadsheetml/2006/main" id="1" name="TableS8AgentMeans" displayName="TableS8AgentMeans" ref="A2:D8" headerRowCount="1" totalsRowCount="0" totalsRowShown="0">
  <x:autoFilter ref="A2:D8"/>
  <x:tableColumns count="4">
    <x:tableColumn id="1" name="Agent"/>
    <x:tableColumn id="2" name="F1 Approaching"/>
    <x:tableColumn id="3" name="F2 Reproducing"/>
    <x:tableColumn id="4" name="F3 Exceeding"/>
  </x:tableColumns>
  <x:tableStyleInfo name="TableStyleLight1" showFirstColumn="0" showLastColumn="0" showRowStripes="1" showColumnStripes="0"/>
</x:table>
</file>

<file path=xl/tables/table2.xml><?xml version="1.0" encoding="utf-8"?>
<x:table xmlns:x="http://schemas.openxmlformats.org/spreadsheetml/2006/main" id="2" name="TableS8Cases" displayName="TableS8Cases" ref="A11:G41" headerRowCount="1" totalsRowCount="0" totalsRowShown="0">
  <x:autoFilter ref="A11:G41"/>
  <x:tableColumns count="7">
    <x:tableColumn id="1" name="Task ID"/>
    <x:tableColumn id="2" name="Scientific case"/>
    <x:tableColumn id="3" name="Agent"/>
    <x:tableColumn id="4" name="F1 Approaching"/>
    <x:tableColumn id="5" name="F2 Reproducing"/>
    <x:tableColumn id="6" name="F3 Exceeding"/>
    <x:tableColumn id="7" name="Deliverable status"/>
  </x:tableColumns>
  <x:tableStyleInfo name="TableStyleLight1" showFirstColumn="0" showLastColumn="0" showRowStripes="1" showColumnStripes="0"/>
</x:table>
</file>

<file path=xl/tables/table3.xml><?xml version="1.0" encoding="utf-8"?>
<x:table xmlns:x="http://schemas.openxmlformats.org/spreadsheetml/2006/main" id="3" name="TableS8Approaching" displayName="TableS8Approaching" ref="A2:E122" headerRowCount="1" totalsRowCount="0" totalsRowShown="0">
  <x:autoFilter ref="A2:E122"/>
  <x:tableColumns count="5">
    <x:tableColumn id="1" name="Task ID"/>
    <x:tableColumn id="2" name="Agent"/>
    <x:tableColumn id="3" name="Scoring criterion"/>
    <x:tableColumn id="4" name="Item score (0, 0.5, 1)"/>
    <x:tableColumn id="5" name="Verification"/>
  </x:tableColumns>
  <x:tableStyleInfo name="TableStyleLight1" showFirstColumn="0" showLastColumn="0" showRowStripes="1" showColumnStripes="0"/>
</x:table>
</file>

<file path=xl/tables/table4.xml><?xml version="1.0" encoding="utf-8"?>
<x:table xmlns:x="http://schemas.openxmlformats.org/spreadsheetml/2006/main" id="4" name="TableS8Reproducing" displayName="TableS8Reproducing" ref="A2:N440" headerRowCount="1" totalsRowCount="0" totalsRowShown="0">
  <x:autoFilter ref="A2:N440"/>
  <x:tableColumns count="14">
    <x:tableColumn id="1" name="Task ID"/>
    <x:tableColumn id="2" name="Agent"/>
    <x:tableColumn id="3" name="Anchor ID"/>
    <x:tableColumn id="4" name="Reference estimand"/>
    <x:tableColumn id="5" name="Reference value"/>
    <x:tableColumn id="6" name="Reference 95% CI"/>
    <x:tableColumn id="7" name="Tolerance"/>
    <x:tableColumn id="8" name="Agent result"/>
    <x:tableColumn id="9" name="Agent 95% CI"/>
    <x:tableColumn id="10" name="Weight"/>
    <x:tableColumn id="11" name="Item score (0–1)"/>
    <x:tableColumn id="12" name="Weighted score"/>
    <x:tableColumn id="13" name="Comparability"/>
    <x:tableColumn id="14" name="Verification"/>
  </x:tableColumns>
  <x:tableStyleInfo name="TableStyleLight1" showFirstColumn="0" showLastColumn="0" showRowStripes="1" showColumnStripes="0"/>
</x:table>
</file>

<file path=xl/tables/table5.xml><?xml version="1.0" encoding="utf-8"?>
<x:table xmlns:x="http://schemas.openxmlformats.org/spreadsheetml/2006/main" id="5" name="TableS8Exceeding" displayName="TableS8Exceeding" ref="A2:H92" headerRowCount="1" totalsRowCount="0" totalsRowShown="0">
  <x:autoFilter ref="A2:H92"/>
  <x:tableColumns count="8">
    <x:tableColumn id="1" name="Task ID"/>
    <x:tableColumn id="2" name="Agent"/>
    <x:tableColumn id="3" name="Slot"/>
    <x:tableColumn id="4" name="Additional claim"/>
    <x:tableColumn id="5" name="Relation to reference findings"/>
    <x:tableColumn id="6" name="Executed result"/>
    <x:tableColumn id="7" name="Item score (0, 0.5, 1)"/>
    <x:tableColumn id="8" name="Verification and interpreta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a0e4e1d07943fb" /><Relationship Type="http://schemas.openxmlformats.org/officeDocument/2006/relationships/table" Target="/xl/tables/table2.xml" Id="R699921e7cd08401f" /></Relationships>
</file>

<file path=xl/worksheets/_rels/sheet2.xml.rels>&#65279;<?xml version="1.0" encoding="utf-8"?><Relationships xmlns="http://schemas.openxmlformats.org/package/2006/relationships"><Relationship Type="http://schemas.openxmlformats.org/officeDocument/2006/relationships/table" Target="/xl/tables/table3.xml" Id="R8723a45193754734" /></Relationships>
</file>

<file path=xl/worksheets/_rels/sheet3.xml.rels>&#65279;<?xml version="1.0" encoding="utf-8"?><Relationships xmlns="http://schemas.openxmlformats.org/package/2006/relationships"><Relationship Type="http://schemas.openxmlformats.org/officeDocument/2006/relationships/table" Target="/xl/tables/table4.xml" Id="R816c9110a4434677" /></Relationships>
</file>

<file path=xl/worksheets/_rels/sheet4.xml.rels>&#65279;<?xml version="1.0" encoding="utf-8"?><Relationships xmlns="http://schemas.openxmlformats.org/package/2006/relationships"><Relationship Type="http://schemas.openxmlformats.org/officeDocument/2006/relationships/table" Target="/xl/tables/table5.xml" Id="Ra9fbab08c15d4dd0" /></Relationships>
</file>

<file path=xl/worksheets/sheet1.xml><?xml version="1.0" encoding="utf-8"?>
<x:worksheet xmlns:x="http://schemas.openxmlformats.org/spreadsheetml/2006/main">
  <x:sheetViews>
    <x:sheetView showGridLines="0" workbookViewId="0">
      <x:pane xSplit="1" ySplit="11" topLeftCell="B12" activePane="bottomRight" state="frozen"/>
    </x:sheetView>
  </x:sheetViews>
  <x:sheetFormatPr defaultRowHeight="15"/>
  <x:cols>
    <x:col min="1" max="1" width="13.329999923706055" hidden="0" customWidth="1"/>
    <x:col min="2" max="2" width="47.220001220703125" hidden="0" customWidth="1"/>
    <x:col min="3" max="3" width="17.329999923706055" hidden="0" customWidth="1"/>
    <x:col min="4" max="4" width="12" hidden="0" customWidth="1"/>
    <x:col min="5" max="5" width="12" hidden="0" customWidth="1"/>
    <x:col min="6" max="6" width="12" hidden="0" customWidth="1"/>
    <x:col min="7" max="7" width="31.670000076293945" hidden="0" customWidth="1"/>
  </x:cols>
  <x:sheetData>
    <x:row r="1" ht="36" customHeight="1">
      <x:c r="A1" s="6" t="str">
        <x:v>Table S8. Frontier Tier pilot: case-level scores and scoring evidence.</x:v>
      </x:c>
      <x:c r="B1" s="6"/>
      <x:c r="C1" s="6"/>
      <x:c r="D1" s="6"/>
      <x:c r="E1" s="6"/>
      <x:c r="F1" s="6"/>
      <x:c r="G1" s="6"/>
    </x:row>
    <x:row r="2" ht="40.5" customHeight="1">
      <x:c r="A2" s="13" t="str">
        <x:v>Agent</x:v>
      </x:c>
      <x:c r="B2" s="14" t="str">
        <x:v>F1 Approaching</x:v>
      </x:c>
      <x:c r="C2" s="14" t="str">
        <x:v>F2 Reproducing</x:v>
      </x:c>
      <x:c r="D2" s="15" t="str">
        <x:v>F3 Exceeding</x:v>
      </x:c>
      <x:c r="E2" s="5"/>
      <x:c r="F2" s="5"/>
      <x:c r="G2" s="5"/>
    </x:row>
    <x:row r="3" ht="28.5" customHeight="1">
      <x:c r="A3" s="16" t="str">
        <x:v>AutoBA</x:v>
      </x:c>
      <x:c r="B3" s="17" t="n">
        <x:f>AVERAGEIFS(D$12:D$41,$C$12:$C$41,$A3)</x:f>
        <x:v>0.375</x:v>
      </x:c>
      <x:c r="C3" s="17" t="n">
        <x:f>AVERAGEIFS(E$12:E$41,$C$12:$C$41,$A3)</x:f>
        <x:v>0</x:v>
      </x:c>
      <x:c r="D3" s="18" t="n">
        <x:f>AVERAGEIFS(F$12:F$41,$C$12:$C$41,$A3)</x:f>
        <x:v>0</x:v>
      </x:c>
      <x:c r="E3" s="5"/>
      <x:c r="F3" s="5"/>
      <x:c r="G3" s="5"/>
    </x:row>
    <x:row r="4" ht="28.5" customHeight="1">
      <x:c r="A4" s="19" t="str">
        <x:v>BioMaster</x:v>
      </x:c>
      <x:c r="B4" s="20" t="n">
        <x:f>AVERAGEIFS(D$12:D$41,$C$12:$C$41,$A4)</x:f>
        <x:v>0.4</x:v>
      </x:c>
      <x:c r="C4" s="20" t="n">
        <x:f>AVERAGEIFS(E$12:E$41,$C$12:$C$41,$A4)</x:f>
        <x:v>0.015384615384615385</x:v>
      </x:c>
      <x:c r="D4" s="21" t="n">
        <x:f>AVERAGEIFS(F$12:F$41,$C$12:$C$41,$A4)</x:f>
        <x:v>0</x:v>
      </x:c>
      <x:c r="E4" s="5"/>
      <x:c r="F4" s="5"/>
      <x:c r="G4" s="5"/>
    </x:row>
    <x:row r="5" ht="28.5" customHeight="1">
      <x:c r="A5" s="19" t="str">
        <x:v>Biomni</x:v>
      </x:c>
      <x:c r="B5" s="20" t="n">
        <x:f>AVERAGEIFS(D$12:D$41,$C$12:$C$41,$A5)</x:f>
        <x:v>0.8</x:v>
      </x:c>
      <x:c r="C5" s="20" t="n">
        <x:f>AVERAGEIFS(E$12:E$41,$C$12:$C$41,$A5)</x:f>
        <x:v>0.08954116059379218</x:v>
      </x:c>
      <x:c r="D5" s="21" t="n">
        <x:f>AVERAGEIFS(F$12:F$41,$C$12:$C$41,$A5)</x:f>
        <x:v>0.06666666666666667</x:v>
      </x:c>
      <x:c r="E5" s="5"/>
      <x:c r="F5" s="5"/>
      <x:c r="G5" s="5"/>
    </x:row>
    <x:row r="6" ht="28.5" customHeight="1">
      <x:c r="A6" s="19" t="str">
        <x:v>BixBench-Agent</x:v>
      </x:c>
      <x:c r="B6" s="20" t="n">
        <x:f>AVERAGEIFS(D$12:D$41,$C$12:$C$41,$A6)</x:f>
        <x:v>0.65</x:v>
      </x:c>
      <x:c r="C6" s="20" t="n">
        <x:f>AVERAGEIFS(E$12:E$41,$C$12:$C$41,$A6)</x:f>
        <x:v>0.10695970695970695</x:v>
      </x:c>
      <x:c r="D6" s="21" t="n">
        <x:f>AVERAGEIFS(F$12:F$41,$C$12:$C$41,$A6)</x:f>
        <x:v>0.06666666666666667</x:v>
      </x:c>
      <x:c r="E6" s="5"/>
      <x:c r="F6" s="5"/>
      <x:c r="G6" s="5"/>
    </x:row>
    <x:row r="7" ht="28.5" customHeight="1">
      <x:c r="A7" s="19" t="str">
        <x:v>STELLA</x:v>
      </x:c>
      <x:c r="B7" s="20" t="n">
        <x:f>AVERAGEIFS(D$12:D$41,$C$12:$C$41,$A7)</x:f>
        <x:v>0.725</x:v>
      </x:c>
      <x:c r="C7" s="20" t="n">
        <x:f>AVERAGEIFS(E$12:E$41,$C$12:$C$41,$A7)</x:f>
        <x:v>0.19862637362637364</x:v>
      </x:c>
      <x:c r="D7" s="21" t="n">
        <x:f>AVERAGEIFS(F$12:F$41,$C$12:$C$41,$A7)</x:f>
        <x:v>0.06666666666666667</x:v>
      </x:c>
      <x:c r="E7" s="5"/>
      <x:c r="F7" s="5"/>
      <x:c r="G7" s="5"/>
    </x:row>
    <x:row r="8" ht="28.5" customHeight="1">
      <x:c r="A8" s="22" t="str">
        <x:v>BioMedAgent</x:v>
      </x:c>
      <x:c r="B8" s="23" t="n">
        <x:f>AVERAGEIFS(D$12:D$41,$C$12:$C$41,$A8)</x:f>
        <x:v>0.85</x:v>
      </x:c>
      <x:c r="C8" s="23" t="n">
        <x:f>AVERAGEIFS(E$12:E$41,$C$12:$C$41,$A8)</x:f>
        <x:v>0.1990649701176017</x:v>
      </x:c>
      <x:c r="D8" s="24" t="n">
        <x:f>AVERAGEIFS(F$12:F$41,$C$12:$C$41,$A8)</x:f>
        <x:v>0.13333333333333333</x:v>
      </x:c>
      <x:c r="E8" s="5"/>
      <x:c r="F8" s="5"/>
      <x:c r="G8" s="5"/>
    </x:row>
    <x:row r="9" ht="28.5" customHeight="1">
      <x:c r="A9" s="5"/>
      <x:c r="B9" s="5"/>
      <x:c r="C9" s="5"/>
      <x:c r="D9" s="5"/>
      <x:c r="E9" s="5"/>
      <x:c r="F9" s="5"/>
      <x:c r="G9" s="5"/>
    </x:row>
    <x:row r="10" ht="26.25" customHeight="1">
      <x:c r="A10" s="25" t="str">
        <x:v>Scores by scientific case and agent</x:v>
      </x:c>
      <x:c r="B10" s="25"/>
      <x:c r="C10" s="25"/>
      <x:c r="D10" s="25"/>
      <x:c r="E10" s="25"/>
      <x:c r="F10" s="25"/>
      <x:c r="G10" s="25"/>
    </x:row>
    <x:row r="11" ht="40.5" customHeight="1">
      <x:c r="A11" s="13" t="str">
        <x:v>Task ID</x:v>
      </x:c>
      <x:c r="B11" s="14" t="str">
        <x:v>Scientific case</x:v>
      </x:c>
      <x:c r="C11" s="14" t="str">
        <x:v>Agent</x:v>
      </x:c>
      <x:c r="D11" s="14" t="str">
        <x:v>F1 Approaching</x:v>
      </x:c>
      <x:c r="E11" s="14" t="str">
        <x:v>F2 Reproducing</x:v>
      </x:c>
      <x:c r="F11" s="14" t="str">
        <x:v>F3 Exceeding</x:v>
      </x:c>
      <x:c r="G11" s="15" t="str">
        <x:v>Deliverable status</x:v>
      </x:c>
    </x:row>
    <x:row r="12" ht="46.5" customHeight="1">
      <x:c r="A12" s="28" t="str">
        <x:v>FR-0001</x:v>
      </x:c>
      <x:c r="B12" s="29" t="str">
        <x:v>Postprandial glucose physiology</x:v>
      </x:c>
      <x:c r="C12" s="29" t="str">
        <x:v>AutoBA</x:v>
      </x:c>
      <x:c r="D12" s="30" t="n">
        <x:f>AVERAGEIFS('F1 Approaching'!$D$3:$D$122,'F1 Approaching'!$A$3:$A$122,$A12,'F1 Approaching'!$B$3:$B$122,$C12)</x:f>
        <x:v>0.375</x:v>
      </x:c>
      <x:c r="E12" s="30" t="n">
        <x:f>SUMIFS('F2 Reproducing'!$L$3:$L$440,'F2 Reproducing'!$A$3:$A$440,$A12,'F2 Reproducing'!$B$3:$B$440,$C12)/SUMIFS('F2 Reproducing'!$J$3:$J$440,'F2 Reproducing'!$A$3:$A$440,$A12,'F2 Reproducing'!$B$3:$B$440,$C12)</x:f>
        <x:v>0</x:v>
      </x:c>
      <x:c r="F12" s="30" t="n">
        <x:f>AVERAGEIFS('F3 Exceeding'!$G$3:$G$92,'F3 Exceeding'!$A$3:$A$92,$A12,'F3 Exceeding'!$B$3:$B$92,$C12)</x:f>
        <x:v>0</x:v>
      </x:c>
      <x:c r="G12" s="31" t="str">
        <x:v>Partial outputs; no scientific report</x:v>
      </x:c>
    </x:row>
    <x:row r="13" ht="46.5" customHeight="1">
      <x:c r="A13" s="32" t="str">
        <x:v>FR-0002</x:v>
      </x:c>
      <x:c r="B13" s="33" t="str">
        <x:v>Doxycycline PEP and the microbiome</x:v>
      </x:c>
      <x:c r="C13" s="33" t="str">
        <x:v>AutoBA</x:v>
      </x:c>
      <x:c r="D13" s="34" t="n">
        <x:f>AVERAGEIFS('F1 Approaching'!$D$3:$D$122,'F1 Approaching'!$A$3:$A$122,$A13,'F1 Approaching'!$B$3:$B$122,$C13)</x:f>
        <x:v>0.375</x:v>
      </x:c>
      <x:c r="E13" s="34" t="n">
        <x:f>SUMIFS('F2 Reproducing'!$L$3:$L$440,'F2 Reproducing'!$A$3:$A$440,$A13,'F2 Reproducing'!$B$3:$B$440,$C13)/SUMIFS('F2 Reproducing'!$J$3:$J$440,'F2 Reproducing'!$A$3:$A$440,$A13,'F2 Reproducing'!$B$3:$B$440,$C13)</x:f>
        <x:v>0</x:v>
      </x:c>
      <x:c r="F13" s="34" t="n">
        <x:f>AVERAGEIFS('F3 Exceeding'!$G$3:$G$92,'F3 Exceeding'!$A$3:$A$92,$A13,'F3 Exceeding'!$B$3:$B$92,$C13)</x:f>
        <x:v>0</x:v>
      </x:c>
      <x:c r="G13" s="35" t="str">
        <x:v>Partial outputs; no scientific report</x:v>
      </x:c>
    </x:row>
    <x:row r="14" ht="46.5" customHeight="1">
      <x:c r="A14" s="32" t="str">
        <x:v>FR-0003</x:v>
      </x:c>
      <x:c r="B14" s="33" t="str">
        <x:v>Felzartamab and molecular antibody-mediated rejection</x:v>
      </x:c>
      <x:c r="C14" s="33" t="str">
        <x:v>AutoBA</x:v>
      </x:c>
      <x:c r="D14" s="34" t="n">
        <x:f>AVERAGEIFS('F1 Approaching'!$D$3:$D$122,'F1 Approaching'!$A$3:$A$122,$A14,'F1 Approaching'!$B$3:$B$122,$C14)</x:f>
        <x:v>0.375</x:v>
      </x:c>
      <x:c r="E14" s="34" t="n">
        <x:f>SUMIFS('F2 Reproducing'!$L$3:$L$440,'F2 Reproducing'!$A$3:$A$440,$A14,'F2 Reproducing'!$B$3:$B$440,$C14)/SUMIFS('F2 Reproducing'!$J$3:$J$440,'F2 Reproducing'!$A$3:$A$440,$A14,'F2 Reproducing'!$B$3:$B$440,$C14)</x:f>
        <x:v>0</x:v>
      </x:c>
      <x:c r="F14" s="34" t="n">
        <x:f>AVERAGEIFS('F3 Exceeding'!$G$3:$G$92,'F3 Exceeding'!$A$3:$A$92,$A14,'F3 Exceeding'!$B$3:$B$92,$C14)</x:f>
        <x:v>0</x:v>
      </x:c>
      <x:c r="G14" s="35" t="str">
        <x:v>Partial outputs; no scientific report</x:v>
      </x:c>
    </x:row>
    <x:row r="15" ht="46.5" customHeight="1">
      <x:c r="A15" s="32" t="str">
        <x:v>FR-0004</x:v>
      </x:c>
      <x:c r="B15" s="33" t="str">
        <x:v>PBMC respiration and glaucoma progression</x:v>
      </x:c>
      <x:c r="C15" s="33" t="str">
        <x:v>AutoBA</x:v>
      </x:c>
      <x:c r="D15" s="34" t="n">
        <x:f>AVERAGEIFS('F1 Approaching'!$D$3:$D$122,'F1 Approaching'!$A$3:$A$122,$A15,'F1 Approaching'!$B$3:$B$122,$C15)</x:f>
        <x:v>0.375</x:v>
      </x:c>
      <x:c r="E15" s="34" t="n">
        <x:f>SUMIFS('F2 Reproducing'!$L$3:$L$440,'F2 Reproducing'!$A$3:$A$440,$A15,'F2 Reproducing'!$B$3:$B$440,$C15)/SUMIFS('F2 Reproducing'!$J$3:$J$440,'F2 Reproducing'!$A$3:$A$440,$A15,'F2 Reproducing'!$B$3:$B$440,$C15)</x:f>
        <x:v>0</x:v>
      </x:c>
      <x:c r="F15" s="34" t="n">
        <x:f>AVERAGEIFS('F3 Exceeding'!$G$3:$G$92,'F3 Exceeding'!$A$3:$A$92,$A15,'F3 Exceeding'!$B$3:$B$92,$C15)</x:f>
        <x:v>0</x:v>
      </x:c>
      <x:c r="G15" s="35" t="str">
        <x:v>Partial outputs; no scientific report</x:v>
      </x:c>
    </x:row>
    <x:row r="16" ht="46.5" customHeight="1">
      <x:c r="A16" s="32" t="str">
        <x:v>FR-0005</x:v>
      </x:c>
      <x:c r="B16" s="33" t="str">
        <x:v>Streptococcal serology and subsequent events</x:v>
      </x:c>
      <x:c r="C16" s="33" t="str">
        <x:v>AutoBA</x:v>
      </x:c>
      <x:c r="D16" s="34" t="n">
        <x:f>AVERAGEIFS('F1 Approaching'!$D$3:$D$122,'F1 Approaching'!$A$3:$A$122,$A16,'F1 Approaching'!$B$3:$B$122,$C16)</x:f>
        <x:v>0.375</x:v>
      </x:c>
      <x:c r="E16" s="34" t="n">
        <x:f>SUMIFS('F2 Reproducing'!$L$3:$L$440,'F2 Reproducing'!$A$3:$A$440,$A16,'F2 Reproducing'!$B$3:$B$440,$C16)/SUMIFS('F2 Reproducing'!$J$3:$J$440,'F2 Reproducing'!$A$3:$A$440,$A16,'F2 Reproducing'!$B$3:$B$440,$C16)</x:f>
        <x:v>0</x:v>
      </x:c>
      <x:c r="F16" s="34" t="n">
        <x:f>AVERAGEIFS('F3 Exceeding'!$G$3:$G$92,'F3 Exceeding'!$A$3:$A$92,$A16,'F3 Exceeding'!$B$3:$B$92,$C16)</x:f>
        <x:v>0</x:v>
      </x:c>
      <x:c r="G16" s="35" t="str">
        <x:v>Partial outputs; no scientific report</x:v>
      </x:c>
    </x:row>
    <x:row r="17" ht="46.5" customHeight="1">
      <x:c r="A17" s="32" t="str">
        <x:v>FR-0001</x:v>
      </x:c>
      <x:c r="B17" s="33" t="str">
        <x:v>Postprandial glucose physiology</x:v>
      </x:c>
      <x:c r="C17" s="33" t="str">
        <x:v>BioMaster</x:v>
      </x:c>
      <x:c r="D17" s="34" t="n">
        <x:f>AVERAGEIFS('F1 Approaching'!$D$3:$D$122,'F1 Approaching'!$A$3:$A$122,$A17,'F1 Approaching'!$B$3:$B$122,$C17)</x:f>
        <x:v>0.375</x:v>
      </x:c>
      <x:c r="E17" s="34" t="n">
        <x:f>SUMIFS('F2 Reproducing'!$L$3:$L$440,'F2 Reproducing'!$A$3:$A$440,$A17,'F2 Reproducing'!$B$3:$B$440,$C17)/SUMIFS('F2 Reproducing'!$J$3:$J$440,'F2 Reproducing'!$A$3:$A$440,$A17,'F2 Reproducing'!$B$3:$B$440,$C17)</x:f>
        <x:v>0.07692307692307693</x:v>
      </x:c>
      <x:c r="F17" s="34" t="n">
        <x:f>AVERAGEIFS('F3 Exceeding'!$G$3:$G$92,'F3 Exceeding'!$A$3:$A$92,$A17,'F3 Exceeding'!$B$3:$B$92,$C17)</x:f>
        <x:v>0</x:v>
      </x:c>
      <x:c r="G17" s="35" t="str">
        <x:v>Partial outputs; no scientific report</x:v>
      </x:c>
    </x:row>
    <x:row r="18" ht="46.5" customHeight="1">
      <x:c r="A18" s="32" t="str">
        <x:v>FR-0002</x:v>
      </x:c>
      <x:c r="B18" s="33" t="str">
        <x:v>Doxycycline PEP and the microbiome</x:v>
      </x:c>
      <x:c r="C18" s="33" t="str">
        <x:v>BioMaster</x:v>
      </x:c>
      <x:c r="D18" s="34" t="n">
        <x:f>AVERAGEIFS('F1 Approaching'!$D$3:$D$122,'F1 Approaching'!$A$3:$A$122,$A18,'F1 Approaching'!$B$3:$B$122,$C18)</x:f>
        <x:v>0.625</x:v>
      </x:c>
      <x:c r="E18" s="34" t="n">
        <x:f>SUMIFS('F2 Reproducing'!$L$3:$L$440,'F2 Reproducing'!$A$3:$A$440,$A18,'F2 Reproducing'!$B$3:$B$440,$C18)/SUMIFS('F2 Reproducing'!$J$3:$J$440,'F2 Reproducing'!$A$3:$A$440,$A18,'F2 Reproducing'!$B$3:$B$440,$C18)</x:f>
        <x:v>0</x:v>
      </x:c>
      <x:c r="F18" s="34" t="n">
        <x:f>AVERAGEIFS('F3 Exceeding'!$G$3:$G$92,'F3 Exceeding'!$A$3:$A$92,$A18,'F3 Exceeding'!$B$3:$B$92,$C18)</x:f>
        <x:v>0</x:v>
      </x:c>
      <x:c r="G18" s="35" t="str">
        <x:v>Partial outputs; no scientific report</x:v>
      </x:c>
    </x:row>
    <x:row r="19" ht="46.5" customHeight="1">
      <x:c r="A19" s="32" t="str">
        <x:v>FR-0003</x:v>
      </x:c>
      <x:c r="B19" s="33" t="str">
        <x:v>Felzartamab and molecular antibody-mediated rejection</x:v>
      </x:c>
      <x:c r="C19" s="33" t="str">
        <x:v>BioMaster</x:v>
      </x:c>
      <x:c r="D19" s="34" t="n">
        <x:f>AVERAGEIFS('F1 Approaching'!$D$3:$D$122,'F1 Approaching'!$A$3:$A$122,$A19,'F1 Approaching'!$B$3:$B$122,$C19)</x:f>
        <x:v>0.5</x:v>
      </x:c>
      <x:c r="E19" s="34" t="n">
        <x:f>SUMIFS('F2 Reproducing'!$L$3:$L$440,'F2 Reproducing'!$A$3:$A$440,$A19,'F2 Reproducing'!$B$3:$B$440,$C19)/SUMIFS('F2 Reproducing'!$J$3:$J$440,'F2 Reproducing'!$A$3:$A$440,$A19,'F2 Reproducing'!$B$3:$B$440,$C19)</x:f>
        <x:v>0</x:v>
      </x:c>
      <x:c r="F19" s="34" t="n">
        <x:f>AVERAGEIFS('F3 Exceeding'!$G$3:$G$92,'F3 Exceeding'!$A$3:$A$92,$A19,'F3 Exceeding'!$B$3:$B$92,$C19)</x:f>
        <x:v>0</x:v>
      </x:c>
      <x:c r="G19" s="35" t="str">
        <x:v>Partial outputs; no scientific report</x:v>
      </x:c>
    </x:row>
    <x:row r="20" ht="46.5" customHeight="1">
      <x:c r="A20" s="32" t="str">
        <x:v>FR-0004</x:v>
      </x:c>
      <x:c r="B20" s="33" t="str">
        <x:v>PBMC respiration and glaucoma progression</x:v>
      </x:c>
      <x:c r="C20" s="33" t="str">
        <x:v>BioMaster</x:v>
      </x:c>
      <x:c r="D20" s="34" t="n">
        <x:f>AVERAGEIFS('F1 Approaching'!$D$3:$D$122,'F1 Approaching'!$A$3:$A$122,$A20,'F1 Approaching'!$B$3:$B$122,$C20)</x:f>
        <x:v>0.5</x:v>
      </x:c>
      <x:c r="E20" s="34" t="n">
        <x:f>SUMIFS('F2 Reproducing'!$L$3:$L$440,'F2 Reproducing'!$A$3:$A$440,$A20,'F2 Reproducing'!$B$3:$B$440,$C20)/SUMIFS('F2 Reproducing'!$J$3:$J$440,'F2 Reproducing'!$A$3:$A$440,$A20,'F2 Reproducing'!$B$3:$B$440,$C20)</x:f>
        <x:v>0</x:v>
      </x:c>
      <x:c r="F20" s="34" t="n">
        <x:f>AVERAGEIFS('F3 Exceeding'!$G$3:$G$92,'F3 Exceeding'!$A$3:$A$92,$A20,'F3 Exceeding'!$B$3:$B$92,$C20)</x:f>
        <x:v>0</x:v>
      </x:c>
      <x:c r="G20" s="35" t="str">
        <x:v>Partial outputs; no scientific report</x:v>
      </x:c>
    </x:row>
    <x:row r="21" ht="46.5" customHeight="1">
      <x:c r="A21" s="32" t="str">
        <x:v>FR-0005</x:v>
      </x:c>
      <x:c r="B21" s="33" t="str">
        <x:v>Streptococcal serology and subsequent events</x:v>
      </x:c>
      <x:c r="C21" s="33" t="str">
        <x:v>BioMaster</x:v>
      </x:c>
      <x:c r="D21" s="34" t="n">
        <x:f>AVERAGEIFS('F1 Approaching'!$D$3:$D$122,'F1 Approaching'!$A$3:$A$122,$A21,'F1 Approaching'!$B$3:$B$122,$C21)</x:f>
        <x:v>0</x:v>
      </x:c>
      <x:c r="E21" s="34" t="n">
        <x:f>SUMIFS('F2 Reproducing'!$L$3:$L$440,'F2 Reproducing'!$A$3:$A$440,$A21,'F2 Reproducing'!$B$3:$B$440,$C21)/SUMIFS('F2 Reproducing'!$J$3:$J$440,'F2 Reproducing'!$A$3:$A$440,$A21,'F2 Reproducing'!$B$3:$B$440,$C21)</x:f>
        <x:v>0</x:v>
      </x:c>
      <x:c r="F21" s="34" t="n">
        <x:f>AVERAGEIFS('F3 Exceeding'!$G$3:$G$92,'F3 Exceeding'!$A$3:$A$92,$A21,'F3 Exceeding'!$B$3:$B$92,$C21)</x:f>
        <x:v>0</x:v>
      </x:c>
      <x:c r="G21" s="35" t="str">
        <x:v>No scientific output</x:v>
      </x:c>
    </x:row>
    <x:row r="22" ht="46.5" customHeight="1">
      <x:c r="A22" s="32" t="str">
        <x:v>FR-0001</x:v>
      </x:c>
      <x:c r="B22" s="33" t="str">
        <x:v>Postprandial glucose physiology</x:v>
      </x:c>
      <x:c r="C22" s="33" t="str">
        <x:v>Biomni</x:v>
      </x:c>
      <x:c r="D22" s="34" t="n">
        <x:f>AVERAGEIFS('F1 Approaching'!$D$3:$D$122,'F1 Approaching'!$A$3:$A$122,$A22,'F1 Approaching'!$B$3:$B$122,$C22)</x:f>
        <x:v>0.75</x:v>
      </x:c>
      <x:c r="E22" s="34" t="n">
        <x:f>SUMIFS('F2 Reproducing'!$L$3:$L$440,'F2 Reproducing'!$A$3:$A$440,$A22,'F2 Reproducing'!$B$3:$B$440,$C22)/SUMIFS('F2 Reproducing'!$J$3:$J$440,'F2 Reproducing'!$A$3:$A$440,$A22,'F2 Reproducing'!$B$3:$B$440,$C22)</x:f>
        <x:v>0.15384615384615385</x:v>
      </x:c>
      <x:c r="F22" s="34" t="n">
        <x:f>AVERAGEIFS('F3 Exceeding'!$G$3:$G$92,'F3 Exceeding'!$A$3:$A$92,$A22,'F3 Exceeding'!$B$3:$B$92,$C22)</x:f>
        <x:v>0</x:v>
      </x:c>
      <x:c r="G22" s="35" t="str">
        <x:v>Scientific report delivered</x:v>
      </x:c>
    </x:row>
    <x:row r="23" ht="46.5" customHeight="1">
      <x:c r="A23" s="32" t="str">
        <x:v>FR-0002</x:v>
      </x:c>
      <x:c r="B23" s="33" t="str">
        <x:v>Doxycycline PEP and the microbiome</x:v>
      </x:c>
      <x:c r="C23" s="33" t="str">
        <x:v>Biomni</x:v>
      </x:c>
      <x:c r="D23" s="34" t="n">
        <x:f>AVERAGEIFS('F1 Approaching'!$D$3:$D$122,'F1 Approaching'!$A$3:$A$122,$A23,'F1 Approaching'!$B$3:$B$122,$C23)</x:f>
        <x:v>1</x:v>
      </x:c>
      <x:c r="E23" s="34" t="n">
        <x:f>SUMIFS('F2 Reproducing'!$L$3:$L$440,'F2 Reproducing'!$A$3:$A$440,$A23,'F2 Reproducing'!$B$3:$B$440,$C23)/SUMIFS('F2 Reproducing'!$J$3:$J$440,'F2 Reproducing'!$A$3:$A$440,$A23,'F2 Reproducing'!$B$3:$B$440,$C23)</x:f>
        <x:v>0.25</x:v>
      </x:c>
      <x:c r="F23" s="34" t="n">
        <x:f>AVERAGEIFS('F3 Exceeding'!$G$3:$G$92,'F3 Exceeding'!$A$3:$A$92,$A23,'F3 Exceeding'!$B$3:$B$92,$C23)</x:f>
        <x:v>0</x:v>
      </x:c>
      <x:c r="G23" s="35" t="str">
        <x:v>Scientific report delivered</x:v>
      </x:c>
    </x:row>
    <x:row r="24" ht="46.5" customHeight="1">
      <x:c r="A24" s="32" t="str">
        <x:v>FR-0003</x:v>
      </x:c>
      <x:c r="B24" s="33" t="str">
        <x:v>Felzartamab and molecular antibody-mediated rejection</x:v>
      </x:c>
      <x:c r="C24" s="33" t="str">
        <x:v>Biomni</x:v>
      </x:c>
      <x:c r="D24" s="34" t="n">
        <x:f>AVERAGEIFS('F1 Approaching'!$D$3:$D$122,'F1 Approaching'!$A$3:$A$122,$A24,'F1 Approaching'!$B$3:$B$122,$C24)</x:f>
        <x:v>0.875</x:v>
      </x:c>
      <x:c r="E24" s="34" t="n">
        <x:f>SUMIFS('F2 Reproducing'!$L$3:$L$440,'F2 Reproducing'!$A$3:$A$440,$A24,'F2 Reproducing'!$B$3:$B$440,$C24)/SUMIFS('F2 Reproducing'!$J$3:$J$440,'F2 Reproducing'!$A$3:$A$440,$A24,'F2 Reproducing'!$B$3:$B$440,$C24)</x:f>
        <x:v>0</x:v>
      </x:c>
      <x:c r="F24" s="34" t="n">
        <x:f>AVERAGEIFS('F3 Exceeding'!$G$3:$G$92,'F3 Exceeding'!$A$3:$A$92,$A24,'F3 Exceeding'!$B$3:$B$92,$C24)</x:f>
        <x:v>0.3333333333333333</x:v>
      </x:c>
      <x:c r="G24" s="35" t="str">
        <x:v>Scientific report delivered</x:v>
      </x:c>
    </x:row>
    <x:row r="25" ht="46.5" customHeight="1">
      <x:c r="A25" s="32" t="str">
        <x:v>FR-0004</x:v>
      </x:c>
      <x:c r="B25" s="33" t="str">
        <x:v>PBMC respiration and glaucoma progression</x:v>
      </x:c>
      <x:c r="C25" s="33" t="str">
        <x:v>Biomni</x:v>
      </x:c>
      <x:c r="D25" s="34" t="n">
        <x:f>AVERAGEIFS('F1 Approaching'!$D$3:$D$122,'F1 Approaching'!$A$3:$A$122,$A25,'F1 Approaching'!$B$3:$B$122,$C25)</x:f>
        <x:v>0.5</x:v>
      </x:c>
      <x:c r="E25" s="34" t="n">
        <x:f>SUMIFS('F2 Reproducing'!$L$3:$L$440,'F2 Reproducing'!$A$3:$A$440,$A25,'F2 Reproducing'!$B$3:$B$440,$C25)/SUMIFS('F2 Reproducing'!$J$3:$J$440,'F2 Reproducing'!$A$3:$A$440,$A25,'F2 Reproducing'!$B$3:$B$440,$C25)</x:f>
        <x:v>0</x:v>
      </x:c>
      <x:c r="F25" s="34" t="n">
        <x:f>AVERAGEIFS('F3 Exceeding'!$G$3:$G$92,'F3 Exceeding'!$A$3:$A$92,$A25,'F3 Exceeding'!$B$3:$B$92,$C25)</x:f>
        <x:v>0</x:v>
      </x:c>
      <x:c r="G25" s="35" t="str">
        <x:v>Partial outputs; no scientific report</x:v>
      </x:c>
    </x:row>
    <x:row r="26" ht="46.5" customHeight="1">
      <x:c r="A26" s="32" t="str">
        <x:v>FR-0005</x:v>
      </x:c>
      <x:c r="B26" s="33" t="str">
        <x:v>Streptococcal serology and subsequent events</x:v>
      </x:c>
      <x:c r="C26" s="33" t="str">
        <x:v>Biomni</x:v>
      </x:c>
      <x:c r="D26" s="34" t="n">
        <x:f>AVERAGEIFS('F1 Approaching'!$D$3:$D$122,'F1 Approaching'!$A$3:$A$122,$A26,'F1 Approaching'!$B$3:$B$122,$C26)</x:f>
        <x:v>0.875</x:v>
      </x:c>
      <x:c r="E26" s="34" t="n">
        <x:f>SUMIFS('F2 Reproducing'!$L$3:$L$440,'F2 Reproducing'!$A$3:$A$440,$A26,'F2 Reproducing'!$B$3:$B$440,$C26)/SUMIFS('F2 Reproducing'!$J$3:$J$440,'F2 Reproducing'!$A$3:$A$440,$A26,'F2 Reproducing'!$B$3:$B$440,$C26)</x:f>
        <x:v>0.043859649122807015</x:v>
      </x:c>
      <x:c r="F26" s="34" t="n">
        <x:f>AVERAGEIFS('F3 Exceeding'!$G$3:$G$92,'F3 Exceeding'!$A$3:$A$92,$A26,'F3 Exceeding'!$B$3:$B$92,$C26)</x:f>
        <x:v>0</x:v>
      </x:c>
      <x:c r="G26" s="35" t="str">
        <x:v>Scientific report delivered</x:v>
      </x:c>
    </x:row>
    <x:row r="27" ht="46.5" customHeight="1">
      <x:c r="A27" s="32" t="str">
        <x:v>FR-0001</x:v>
      </x:c>
      <x:c r="B27" s="33" t="str">
        <x:v>Postprandial glucose physiology</x:v>
      </x:c>
      <x:c r="C27" s="33" t="str">
        <x:v>BixBench-Agent</x:v>
      </x:c>
      <x:c r="D27" s="34" t="n">
        <x:f>AVERAGEIFS('F1 Approaching'!$D$3:$D$122,'F1 Approaching'!$A$3:$A$122,$A27,'F1 Approaching'!$B$3:$B$122,$C27)</x:f>
        <x:v>0.75</x:v>
      </x:c>
      <x:c r="E27" s="34" t="n">
        <x:f>SUMIFS('F2 Reproducing'!$L$3:$L$440,'F2 Reproducing'!$A$3:$A$440,$A27,'F2 Reproducing'!$B$3:$B$440,$C27)/SUMIFS('F2 Reproducing'!$J$3:$J$440,'F2 Reproducing'!$A$3:$A$440,$A27,'F2 Reproducing'!$B$3:$B$440,$C27)</x:f>
        <x:v>0.15384615384615385</x:v>
      </x:c>
      <x:c r="F27" s="34" t="n">
        <x:f>AVERAGEIFS('F3 Exceeding'!$G$3:$G$92,'F3 Exceeding'!$A$3:$A$92,$A27,'F3 Exceeding'!$B$3:$B$92,$C27)</x:f>
        <x:v>0</x:v>
      </x:c>
      <x:c r="G27" s="35" t="str">
        <x:v>Scientific report delivered</x:v>
      </x:c>
    </x:row>
    <x:row r="28" ht="46.5" customHeight="1">
      <x:c r="A28" s="32" t="str">
        <x:v>FR-0002</x:v>
      </x:c>
      <x:c r="B28" s="33" t="str">
        <x:v>Doxycycline PEP and the microbiome</x:v>
      </x:c>
      <x:c r="C28" s="33" t="str">
        <x:v>BixBench-Agent</x:v>
      </x:c>
      <x:c r="D28" s="34" t="n">
        <x:f>AVERAGEIFS('F1 Approaching'!$D$3:$D$122,'F1 Approaching'!$A$3:$A$122,$A28,'F1 Approaching'!$B$3:$B$122,$C28)</x:f>
        <x:v>0.75</x:v>
      </x:c>
      <x:c r="E28" s="34" t="n">
        <x:f>SUMIFS('F2 Reproducing'!$L$3:$L$440,'F2 Reproducing'!$A$3:$A$440,$A28,'F2 Reproducing'!$B$3:$B$440,$C28)/SUMIFS('F2 Reproducing'!$J$3:$J$440,'F2 Reproducing'!$A$3:$A$440,$A28,'F2 Reproducing'!$B$3:$B$440,$C28)</x:f>
        <x:v>0</x:v>
      </x:c>
      <x:c r="F28" s="34" t="n">
        <x:f>AVERAGEIFS('F3 Exceeding'!$G$3:$G$92,'F3 Exceeding'!$A$3:$A$92,$A28,'F3 Exceeding'!$B$3:$B$92,$C28)</x:f>
        <x:v>0</x:v>
      </x:c>
      <x:c r="G28" s="35" t="str">
        <x:v>Scientific report delivered</x:v>
      </x:c>
    </x:row>
    <x:row r="29" ht="46.5" customHeight="1">
      <x:c r="A29" s="32" t="str">
        <x:v>FR-0003</x:v>
      </x:c>
      <x:c r="B29" s="33" t="str">
        <x:v>Felzartamab and molecular antibody-mediated rejection</x:v>
      </x:c>
      <x:c r="C29" s="33" t="str">
        <x:v>BixBench-Agent</x:v>
      </x:c>
      <x:c r="D29" s="34" t="n">
        <x:f>AVERAGEIFS('F1 Approaching'!$D$3:$D$122,'F1 Approaching'!$A$3:$A$122,$A29,'F1 Approaching'!$B$3:$B$122,$C29)</x:f>
        <x:v>0.875</x:v>
      </x:c>
      <x:c r="E29" s="34" t="n">
        <x:f>SUMIFS('F2 Reproducing'!$L$3:$L$440,'F2 Reproducing'!$A$3:$A$440,$A29,'F2 Reproducing'!$B$3:$B$440,$C29)/SUMIFS('F2 Reproducing'!$J$3:$J$440,'F2 Reproducing'!$A$3:$A$440,$A29,'F2 Reproducing'!$B$3:$B$440,$C29)</x:f>
        <x:v>0</x:v>
      </x:c>
      <x:c r="F29" s="34" t="n">
        <x:f>AVERAGEIFS('F3 Exceeding'!$G$3:$G$92,'F3 Exceeding'!$A$3:$A$92,$A29,'F3 Exceeding'!$B$3:$B$92,$C29)</x:f>
        <x:v>0.3333333333333333</x:v>
      </x:c>
      <x:c r="G29" s="35" t="str">
        <x:v>Scientific report delivered</x:v>
      </x:c>
    </x:row>
    <x:row r="30" ht="46.5" customHeight="1">
      <x:c r="A30" s="32" t="str">
        <x:v>FR-0004</x:v>
      </x:c>
      <x:c r="B30" s="33" t="str">
        <x:v>PBMC respiration and glaucoma progression</x:v>
      </x:c>
      <x:c r="C30" s="33" t="str">
        <x:v>BixBench-Agent</x:v>
      </x:c>
      <x:c r="D30" s="34" t="n">
        <x:f>AVERAGEIFS('F1 Approaching'!$D$3:$D$122,'F1 Approaching'!$A$3:$A$122,$A30,'F1 Approaching'!$B$3:$B$122,$C30)</x:f>
        <x:v>0.875</x:v>
      </x:c>
      <x:c r="E30" s="34" t="n">
        <x:f>SUMIFS('F2 Reproducing'!$L$3:$L$440,'F2 Reproducing'!$A$3:$A$440,$A30,'F2 Reproducing'!$B$3:$B$440,$C30)/SUMIFS('F2 Reproducing'!$J$3:$J$440,'F2 Reproducing'!$A$3:$A$440,$A30,'F2 Reproducing'!$B$3:$B$440,$C30)</x:f>
        <x:v>0.38095238095238093</x:v>
      </x:c>
      <x:c r="F30" s="34" t="n">
        <x:f>AVERAGEIFS('F3 Exceeding'!$G$3:$G$92,'F3 Exceeding'!$A$3:$A$92,$A30,'F3 Exceeding'!$B$3:$B$92,$C30)</x:f>
        <x:v>0</x:v>
      </x:c>
      <x:c r="G30" s="35" t="str">
        <x:v>Scientific report delivered</x:v>
      </x:c>
    </x:row>
    <x:row r="31" ht="46.5" customHeight="1">
      <x:c r="A31" s="32" t="str">
        <x:v>FR-0005</x:v>
      </x:c>
      <x:c r="B31" s="33" t="str">
        <x:v>Streptococcal serology and subsequent events</x:v>
      </x:c>
      <x:c r="C31" s="33" t="str">
        <x:v>BixBench-Agent</x:v>
      </x:c>
      <x:c r="D31" s="34" t="n">
        <x:f>AVERAGEIFS('F1 Approaching'!$D$3:$D$122,'F1 Approaching'!$A$3:$A$122,$A31,'F1 Approaching'!$B$3:$B$122,$C31)</x:f>
        <x:v>0</x:v>
      </x:c>
      <x:c r="E31" s="34" t="n">
        <x:f>SUMIFS('F2 Reproducing'!$L$3:$L$440,'F2 Reproducing'!$A$3:$A$440,$A31,'F2 Reproducing'!$B$3:$B$440,$C31)/SUMIFS('F2 Reproducing'!$J$3:$J$440,'F2 Reproducing'!$A$3:$A$440,$A31,'F2 Reproducing'!$B$3:$B$440,$C31)</x:f>
        <x:v>0</x:v>
      </x:c>
      <x:c r="F31" s="34" t="n">
        <x:f>AVERAGEIFS('F3 Exceeding'!$G$3:$G$92,'F3 Exceeding'!$A$3:$A$92,$A31,'F3 Exceeding'!$B$3:$B$92,$C31)</x:f>
        <x:v>0</x:v>
      </x:c>
      <x:c r="G31" s="35" t="str">
        <x:v>No scientific output</x:v>
      </x:c>
    </x:row>
    <x:row r="32" ht="46.5" customHeight="1">
      <x:c r="A32" s="32" t="str">
        <x:v>FR-0001</x:v>
      </x:c>
      <x:c r="B32" s="33" t="str">
        <x:v>Postprandial glucose physiology</x:v>
      </x:c>
      <x:c r="C32" s="33" t="str">
        <x:v>STELLA</x:v>
      </x:c>
      <x:c r="D32" s="34" t="n">
        <x:f>AVERAGEIFS('F1 Approaching'!$D$3:$D$122,'F1 Approaching'!$A$3:$A$122,$A32,'F1 Approaching'!$B$3:$B$122,$C32)</x:f>
        <x:v>0.875</x:v>
      </x:c>
      <x:c r="E32" s="34" t="n">
        <x:f>SUMIFS('F2 Reproducing'!$L$3:$L$440,'F2 Reproducing'!$A$3:$A$440,$A32,'F2 Reproducing'!$B$3:$B$440,$C32)/SUMIFS('F2 Reproducing'!$J$3:$J$440,'F2 Reproducing'!$A$3:$A$440,$A32,'F2 Reproducing'!$B$3:$B$440,$C32)</x:f>
        <x:v>0.15384615384615385</x:v>
      </x:c>
      <x:c r="F32" s="34" t="n">
        <x:f>AVERAGEIFS('F3 Exceeding'!$G$3:$G$92,'F3 Exceeding'!$A$3:$A$92,$A32,'F3 Exceeding'!$B$3:$B$92,$C32)</x:f>
        <x:v>0</x:v>
      </x:c>
      <x:c r="G32" s="35" t="str">
        <x:v>Scientific report delivered</x:v>
      </x:c>
    </x:row>
    <x:row r="33" ht="46.5" customHeight="1">
      <x:c r="A33" s="32" t="str">
        <x:v>FR-0002</x:v>
      </x:c>
      <x:c r="B33" s="33" t="str">
        <x:v>Doxycycline PEP and the microbiome</x:v>
      </x:c>
      <x:c r="C33" s="33" t="str">
        <x:v>STELLA</x:v>
      </x:c>
      <x:c r="D33" s="34" t="n">
        <x:f>AVERAGEIFS('F1 Approaching'!$D$3:$D$122,'F1 Approaching'!$A$3:$A$122,$A33,'F1 Approaching'!$B$3:$B$122,$C33)</x:f>
        <x:v>0.875</x:v>
      </x:c>
      <x:c r="E33" s="34" t="n">
        <x:f>SUMIFS('F2 Reproducing'!$L$3:$L$440,'F2 Reproducing'!$A$3:$A$440,$A33,'F2 Reproducing'!$B$3:$B$440,$C33)/SUMIFS('F2 Reproducing'!$J$3:$J$440,'F2 Reproducing'!$A$3:$A$440,$A33,'F2 Reproducing'!$B$3:$B$440,$C33)</x:f>
        <x:v>0.0625</x:v>
      </x:c>
      <x:c r="F33" s="34" t="n">
        <x:f>AVERAGEIFS('F3 Exceeding'!$G$3:$G$92,'F3 Exceeding'!$A$3:$A$92,$A33,'F3 Exceeding'!$B$3:$B$92,$C33)</x:f>
        <x:v>0.16666666666666666</x:v>
      </x:c>
      <x:c r="G33" s="35" t="str">
        <x:v>Scientific report delivered</x:v>
      </x:c>
    </x:row>
    <x:row r="34" ht="46.5" customHeight="1">
      <x:c r="A34" s="32" t="str">
        <x:v>FR-0003</x:v>
      </x:c>
      <x:c r="B34" s="33" t="str">
        <x:v>Felzartamab and molecular antibody-mediated rejection</x:v>
      </x:c>
      <x:c r="C34" s="33" t="str">
        <x:v>STELLA</x:v>
      </x:c>
      <x:c r="D34" s="34" t="n">
        <x:f>AVERAGEIFS('F1 Approaching'!$D$3:$D$122,'F1 Approaching'!$A$3:$A$122,$A34,'F1 Approaching'!$B$3:$B$122,$C34)</x:f>
        <x:v>0.875</x:v>
      </x:c>
      <x:c r="E34" s="34" t="n">
        <x:f>SUMIFS('F2 Reproducing'!$L$3:$L$440,'F2 Reproducing'!$A$3:$A$440,$A34,'F2 Reproducing'!$B$3:$B$440,$C34)/SUMIFS('F2 Reproducing'!$J$3:$J$440,'F2 Reproducing'!$A$3:$A$440,$A34,'F2 Reproducing'!$B$3:$B$440,$C34)</x:f>
        <x:v>0.0625</x:v>
      </x:c>
      <x:c r="F34" s="34" t="n">
        <x:f>AVERAGEIFS('F3 Exceeding'!$G$3:$G$92,'F3 Exceeding'!$A$3:$A$92,$A34,'F3 Exceeding'!$B$3:$B$92,$C34)</x:f>
        <x:v>0</x:v>
      </x:c>
      <x:c r="G34" s="35" t="str">
        <x:v>Scientific report delivered</x:v>
      </x:c>
    </x:row>
    <x:row r="35" ht="46.5" customHeight="1">
      <x:c r="A35" s="32" t="str">
        <x:v>FR-0004</x:v>
      </x:c>
      <x:c r="B35" s="33" t="str">
        <x:v>PBMC respiration and glaucoma progression</x:v>
      </x:c>
      <x:c r="C35" s="33" t="str">
        <x:v>STELLA</x:v>
      </x:c>
      <x:c r="D35" s="34" t="n">
        <x:f>AVERAGEIFS('F1 Approaching'!$D$3:$D$122,'F1 Approaching'!$A$3:$A$122,$A35,'F1 Approaching'!$B$3:$B$122,$C35)</x:f>
        <x:v>1</x:v>
      </x:c>
      <x:c r="E35" s="34" t="n">
        <x:f>SUMIFS('F2 Reproducing'!$L$3:$L$440,'F2 Reproducing'!$A$3:$A$440,$A35,'F2 Reproducing'!$B$3:$B$440,$C35)/SUMIFS('F2 Reproducing'!$J$3:$J$440,'F2 Reproducing'!$A$3:$A$440,$A35,'F2 Reproducing'!$B$3:$B$440,$C35)</x:f>
        <x:v>0.7142857142857143</x:v>
      </x:c>
      <x:c r="F35" s="34" t="n">
        <x:f>AVERAGEIFS('F3 Exceeding'!$G$3:$G$92,'F3 Exceeding'!$A$3:$A$92,$A35,'F3 Exceeding'!$B$3:$B$92,$C35)</x:f>
        <x:v>0.16666666666666666</x:v>
      </x:c>
      <x:c r="G35" s="35" t="str">
        <x:v>Scientific report delivered</x:v>
      </x:c>
    </x:row>
    <x:row r="36" ht="46.5" customHeight="1">
      <x:c r="A36" s="32" t="str">
        <x:v>FR-0005</x:v>
      </x:c>
      <x:c r="B36" s="33" t="str">
        <x:v>Streptococcal serology and subsequent events</x:v>
      </x:c>
      <x:c r="C36" s="33" t="str">
        <x:v>STELLA</x:v>
      </x:c>
      <x:c r="D36" s="34" t="n">
        <x:f>AVERAGEIFS('F1 Approaching'!$D$3:$D$122,'F1 Approaching'!$A$3:$A$122,$A36,'F1 Approaching'!$B$3:$B$122,$C36)</x:f>
        <x:v>0</x:v>
      </x:c>
      <x:c r="E36" s="34" t="n">
        <x:f>SUMIFS('F2 Reproducing'!$L$3:$L$440,'F2 Reproducing'!$A$3:$A$440,$A36,'F2 Reproducing'!$B$3:$B$440,$C36)/SUMIFS('F2 Reproducing'!$J$3:$J$440,'F2 Reproducing'!$A$3:$A$440,$A36,'F2 Reproducing'!$B$3:$B$440,$C36)</x:f>
        <x:v>0</x:v>
      </x:c>
      <x:c r="F36" s="34" t="n">
        <x:f>AVERAGEIFS('F3 Exceeding'!$G$3:$G$92,'F3 Exceeding'!$A$3:$A$92,$A36,'F3 Exceeding'!$B$3:$B$92,$C36)</x:f>
        <x:v>0</x:v>
      </x:c>
      <x:c r="G36" s="35" t="str">
        <x:v>No scientific output</x:v>
      </x:c>
    </x:row>
    <x:row r="37" ht="46.5" customHeight="1">
      <x:c r="A37" s="32" t="str">
        <x:v>FR-0001</x:v>
      </x:c>
      <x:c r="B37" s="33" t="str">
        <x:v>Postprandial glucose physiology</x:v>
      </x:c>
      <x:c r="C37" s="33" t="str">
        <x:v>BioMedAgent</x:v>
      </x:c>
      <x:c r="D37" s="34" t="n">
        <x:f>AVERAGEIFS('F1 Approaching'!$D$3:$D$122,'F1 Approaching'!$A$3:$A$122,$A37,'F1 Approaching'!$B$3:$B$122,$C37)</x:f>
        <x:v>0.875</x:v>
      </x:c>
      <x:c r="E37" s="34" t="n">
        <x:f>SUMIFS('F2 Reproducing'!$L$3:$L$440,'F2 Reproducing'!$A$3:$A$440,$A37,'F2 Reproducing'!$B$3:$B$440,$C37)/SUMIFS('F2 Reproducing'!$J$3:$J$440,'F2 Reproducing'!$A$3:$A$440,$A37,'F2 Reproducing'!$B$3:$B$440,$C37)</x:f>
        <x:v>0.15384615384615385</x:v>
      </x:c>
      <x:c r="F37" s="34" t="n">
        <x:f>AVERAGEIFS('F3 Exceeding'!$G$3:$G$92,'F3 Exceeding'!$A$3:$A$92,$A37,'F3 Exceeding'!$B$3:$B$92,$C37)</x:f>
        <x:v>0</x:v>
      </x:c>
      <x:c r="G37" s="35" t="str">
        <x:v>Scientific report delivered</x:v>
      </x:c>
    </x:row>
    <x:row r="38" ht="46.5" customHeight="1">
      <x:c r="A38" s="32" t="str">
        <x:v>FR-0002</x:v>
      </x:c>
      <x:c r="B38" s="33" t="str">
        <x:v>Doxycycline PEP and the microbiome</x:v>
      </x:c>
      <x:c r="C38" s="33" t="str">
        <x:v>BioMedAgent</x:v>
      </x:c>
      <x:c r="D38" s="34" t="n">
        <x:f>AVERAGEIFS('F1 Approaching'!$D$3:$D$122,'F1 Approaching'!$A$3:$A$122,$A38,'F1 Approaching'!$B$3:$B$122,$C38)</x:f>
        <x:v>1</x:v>
      </x:c>
      <x:c r="E38" s="34" t="n">
        <x:f>SUMIFS('F2 Reproducing'!$L$3:$L$440,'F2 Reproducing'!$A$3:$A$440,$A38,'F2 Reproducing'!$B$3:$B$440,$C38)/SUMIFS('F2 Reproducing'!$J$3:$J$440,'F2 Reproducing'!$A$3:$A$440,$A38,'F2 Reproducing'!$B$3:$B$440,$C38)</x:f>
        <x:v>0.2916666666666667</x:v>
      </x:c>
      <x:c r="F38" s="34" t="n">
        <x:f>AVERAGEIFS('F3 Exceeding'!$G$3:$G$92,'F3 Exceeding'!$A$3:$A$92,$A38,'F3 Exceeding'!$B$3:$B$92,$C38)</x:f>
        <x:v>0.5</x:v>
      </x:c>
      <x:c r="G38" s="35" t="str">
        <x:v>Scientific report delivered</x:v>
      </x:c>
    </x:row>
    <x:row r="39" ht="46.5" customHeight="1">
      <x:c r="A39" s="32" t="str">
        <x:v>FR-0003</x:v>
      </x:c>
      <x:c r="B39" s="33" t="str">
        <x:v>Felzartamab and molecular antibody-mediated rejection</x:v>
      </x:c>
      <x:c r="C39" s="33" t="str">
        <x:v>BioMedAgent</x:v>
      </x:c>
      <x:c r="D39" s="34" t="n">
        <x:f>AVERAGEIFS('F1 Approaching'!$D$3:$D$122,'F1 Approaching'!$A$3:$A$122,$A39,'F1 Approaching'!$B$3:$B$122,$C39)</x:f>
        <x:v>0.875</x:v>
      </x:c>
      <x:c r="E39" s="34" t="n">
        <x:f>SUMIFS('F2 Reproducing'!$L$3:$L$440,'F2 Reproducing'!$A$3:$A$440,$A39,'F2 Reproducing'!$B$3:$B$440,$C39)/SUMIFS('F2 Reproducing'!$J$3:$J$440,'F2 Reproducing'!$A$3:$A$440,$A39,'F2 Reproducing'!$B$3:$B$440,$C39)</x:f>
        <x:v>0.125</x:v>
      </x:c>
      <x:c r="F39" s="34" t="n">
        <x:f>AVERAGEIFS('F3 Exceeding'!$G$3:$G$92,'F3 Exceeding'!$A$3:$A$92,$A39,'F3 Exceeding'!$B$3:$B$92,$C39)</x:f>
        <x:v>0.16666666666666666</x:v>
      </x:c>
      <x:c r="G39" s="35" t="str">
        <x:v>Scientific report delivered</x:v>
      </x:c>
    </x:row>
    <x:row r="40" ht="46.5" customHeight="1">
      <x:c r="A40" s="32" t="str">
        <x:v>FR-0004</x:v>
      </x:c>
      <x:c r="B40" s="33" t="str">
        <x:v>PBMC respiration and glaucoma progression</x:v>
      </x:c>
      <x:c r="C40" s="33" t="str">
        <x:v>BioMedAgent</x:v>
      </x:c>
      <x:c r="D40" s="34" t="n">
        <x:f>AVERAGEIFS('F1 Approaching'!$D$3:$D$122,'F1 Approaching'!$A$3:$A$122,$A40,'F1 Approaching'!$B$3:$B$122,$C40)</x:f>
        <x:v>0.875</x:v>
      </x:c>
      <x:c r="E40" s="34" t="n">
        <x:f>SUMIFS('F2 Reproducing'!$L$3:$L$440,'F2 Reproducing'!$A$3:$A$440,$A40,'F2 Reproducing'!$B$3:$B$440,$C40)/SUMIFS('F2 Reproducing'!$J$3:$J$440,'F2 Reproducing'!$A$3:$A$440,$A40,'F2 Reproducing'!$B$3:$B$440,$C40)</x:f>
        <x:v>0.38095238095238093</x:v>
      </x:c>
      <x:c r="F40" s="34" t="n">
        <x:f>AVERAGEIFS('F3 Exceeding'!$G$3:$G$92,'F3 Exceeding'!$A$3:$A$92,$A40,'F3 Exceeding'!$B$3:$B$92,$C40)</x:f>
        <x:v>0</x:v>
      </x:c>
      <x:c r="G40" s="35" t="str">
        <x:v>Scientific report delivered</x:v>
      </x:c>
    </x:row>
    <x:row r="41" ht="46.5" customHeight="1">
      <x:c r="A41" s="36" t="str">
        <x:v>FR-0005</x:v>
      </x:c>
      <x:c r="B41" s="37" t="str">
        <x:v>Streptococcal serology and subsequent events</x:v>
      </x:c>
      <x:c r="C41" s="37" t="str">
        <x:v>BioMedAgent</x:v>
      </x:c>
      <x:c r="D41" s="38" t="n">
        <x:f>AVERAGEIFS('F1 Approaching'!$D$3:$D$122,'F1 Approaching'!$A$3:$A$122,$A41,'F1 Approaching'!$B$3:$B$122,$C41)</x:f>
        <x:v>0.625</x:v>
      </x:c>
      <x:c r="E41" s="38" t="n">
        <x:f>SUMIFS('F2 Reproducing'!$L$3:$L$440,'F2 Reproducing'!$A$3:$A$440,$A41,'F2 Reproducing'!$B$3:$B$440,$C41)/SUMIFS('F2 Reproducing'!$J$3:$J$440,'F2 Reproducing'!$A$3:$A$440,$A41,'F2 Reproducing'!$B$3:$B$440,$C41)</x:f>
        <x:v>0.043859649122807015</x:v>
      </x:c>
      <x:c r="F41" s="38" t="n">
        <x:f>AVERAGEIFS('F3 Exceeding'!$G$3:$G$92,'F3 Exceeding'!$A$3:$A$92,$A41,'F3 Exceeding'!$B$3:$B$92,$C41)</x:f>
        <x:v>0</x:v>
      </x:c>
      <x:c r="G41" s="39" t="str">
        <x:v>Partial outputs; no scientific report</x:v>
      </x:c>
    </x:row>
  </x:sheetData>
  <x:mergeCells>
    <x:mergeCell ref="A1:G1"/>
    <x:mergeCell ref="A10:G10"/>
  </x:mergeCells>
  <x:pageMargins left="0.7" right="0.7" top="0.75" bottom="0.75" header="0.3" footer="0.3"/>
  <x:tableParts count="2">
    <x:tablePart xmlns:r="http://schemas.openxmlformats.org/officeDocument/2006/relationships" r:id="R1aa0e4e1d07943fb"/>
    <x:tablePart xmlns:r="http://schemas.openxmlformats.org/officeDocument/2006/relationships" r:id="R699921e7cd08401f"/>
  </x:tableParts>
</x:worksheet>
</file>

<file path=xl/worksheets/sheet2.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12.220000267028809" hidden="0" customWidth="1"/>
    <x:col min="2" max="2" width="16.670000076293945" hidden="0" customWidth="1"/>
    <x:col min="3" max="3" width="23.889999389648438" hidden="0" customWidth="1"/>
    <x:col min="4" max="4" width="11.109999656677246" hidden="0" customWidth="1"/>
    <x:col min="5" max="5" width="86.66999816894531" hidden="0" customWidth="1"/>
  </x:cols>
  <x:sheetData>
    <x:row r="1" ht="36" customHeight="1">
      <x:c r="A1" s="6" t="str">
        <x:v>Table S8. F1 Approaching: four reasoning criteria per run.</x:v>
      </x:c>
      <x:c r="B1" s="6"/>
      <x:c r="C1" s="6"/>
      <x:c r="D1" s="6"/>
      <x:c r="E1" s="6"/>
    </x:row>
    <x:row r="2" ht="40.5" customHeight="1">
      <x:c r="A2" s="13" t="str">
        <x:v>Task ID</x:v>
      </x:c>
      <x:c r="B2" s="14" t="str">
        <x:v>Agent</x:v>
      </x:c>
      <x:c r="C2" s="14" t="str">
        <x:v>Scoring criterion</x:v>
      </x:c>
      <x:c r="D2" t="str" s="14">
        <x:v>Item score (0, 0.5, 1)</x:v>
      </x:c>
      <x:c r="E2" s="15" t="str">
        <x:v>Verification</x:v>
      </x:c>
    </x:row>
    <x:row r="3" ht="48" customHeight="1">
      <x:c r="A3" s="40" t="str">
        <x:v>FR-0001</x:v>
      </x:c>
      <x:c r="B3" s="41" t="str">
        <x:v>AutoBA</x:v>
      </x:c>
      <x:c r="C3" s="41" t="str">
        <x:v>Clear objective</x:v>
      </x:c>
      <x:c r="D3" t="n" s="64">
        <x:v>1</x:v>
      </x:c>
      <x:c r="E3" s="41" t="str">
        <x:v>Delivered but invalid-JSON plan text visible in the console explicitly defines eligible adults, seven untreated meals, iAUC units and per-SD SSPG/DI contrasts before any execution.</x:v>
      </x:c>
    </x:row>
    <x:row r="4" ht="48" customHeight="1">
      <x:c r="A4" s="32" t="str">
        <x:v>FR-0001</x:v>
      </x:c>
      <x:c r="B4" s="33" t="str">
        <x:v>AutoBA</x:v>
      </x:c>
      <x:c r="C4" s="33" t="str">
        <x:v>Justified steps</x:v>
      </x:c>
      <x:c r="D4" t="n" s="65">
        <x:v>0.5</x:v>
      </x:c>
      <x:c r="E4" s="35" t="str">
        <x:v>Only proposed steps are grounded in the public task; no data-dependent D/M chain is executed.</x:v>
      </x:c>
    </x:row>
    <x:row r="5" ht="48" customHeight="1">
      <x:c r="A5" s="32" t="str">
        <x:v>FR-0001</x:v>
      </x:c>
      <x:c r="B5" s="33" t="str">
        <x:v>AutoBA</x:v>
      </x:c>
      <x:c r="C5" s="33" t="str">
        <x:v>Validity checks</x:v>
      </x:c>
      <x:c r="D5" t="n" s="65">
        <x:v>0</x:v>
      </x:c>
      <x:c r="E5" s="35" t="str">
        <x:v>No scientific data audit, execution or model check occurs; repeated JSON parsing failure is a transport/format observation only.</x:v>
      </x:c>
    </x:row>
    <x:row r="6" ht="48" customHeight="1">
      <x:c r="A6" s="32" t="str">
        <x:v>FR-0001</x:v>
      </x:c>
      <x:c r="B6" s="33" t="str">
        <x:v>AutoBA</x:v>
      </x:c>
      <x:c r="C6" s="33" t="str">
        <x:v>Evidence-grounded conclusions</x:v>
      </x:c>
      <x:c r="D6" t="n" s="65">
        <x:v>0</x:v>
      </x:c>
      <x:c r="E6" s="35" t="str">
        <x:v>No scientific result or report exists. Runtime timeout terminates repeated truncated-plan retries.</x:v>
      </x:c>
    </x:row>
    <x:row r="7" ht="54" customHeight="1">
      <x:c r="A7" s="40" t="str">
        <x:v>FR-0002</x:v>
      </x:c>
      <x:c r="B7" s="41" t="str">
        <x:v>AutoBA</x:v>
      </x:c>
      <x:c r="C7" s="41" t="str">
        <x:v>Clear objective</x:v>
      </x:c>
      <x:c r="D7" t="n" s="64">
        <x:v>1</x:v>
      </x:c>
      <x:c r="E7" s="41" t="str">
        <x:v>Delivered invalid-JSON plan text in the console explicitly identifies the sequencing subsample, doxy/control baseline-to-month-6 change, resistome/microbiome outcomes and absolute/log/ratio scales before any execution.</x:v>
      </x:c>
    </x:row>
    <x:row r="8" ht="48" customHeight="1">
      <x:c r="A8" s="32" t="str">
        <x:v>FR-0002</x:v>
      </x:c>
      <x:c r="B8" s="33" t="str">
        <x:v>AutoBA</x:v>
      </x:c>
      <x:c r="C8" s="33" t="str">
        <x:v>Justified steps</x:v>
      </x:c>
      <x:c r="D8" t="n" s="65">
        <x:v>0.5</x:v>
      </x:c>
      <x:c r="E8" s="35" t="str">
        <x:v>Proposed audit and paired/repeated-measurement steps follow the public task, but no data-dependent decision or model is actually executed.</x:v>
      </x:c>
    </x:row>
    <x:row r="9" ht="48" customHeight="1">
      <x:c r="A9" s="32" t="str">
        <x:v>FR-0002</x:v>
      </x:c>
      <x:c r="B9" s="33" t="str">
        <x:v>AutoBA</x:v>
      </x:c>
      <x:c r="C9" s="33" t="str">
        <x:v>Validity checks</x:v>
      </x:c>
      <x:c r="D9" t="n" s="65">
        <x:v>0</x:v>
      </x:c>
      <x:c r="E9" s="35" t="str">
        <x:v>Repeated JSON parsing failure never reaches scientific data or structure checks.</x:v>
      </x:c>
    </x:row>
    <x:row r="10" ht="48" customHeight="1">
      <x:c r="A10" s="32" t="str">
        <x:v>FR-0002</x:v>
      </x:c>
      <x:c r="B10" s="33" t="str">
        <x:v>AutoBA</x:v>
      </x:c>
      <x:c r="C10" s="33" t="str">
        <x:v>Evidence-grounded conclusions</x:v>
      </x:c>
      <x:c r="D10" t="n" s="65">
        <x:v>0</x:v>
      </x:c>
      <x:c r="E10" s="35" t="str">
        <x:v>No scientific result or report exists; runtime timeout terminates planning retries.</x:v>
      </x:c>
    </x:row>
    <x:row r="11" ht="54" customHeight="1">
      <x:c r="A11" s="40" t="str">
        <x:v>FR-0003</x:v>
      </x:c>
      <x:c r="B11" s="41" t="str">
        <x:v>AutoBA</x:v>
      </x:c>
      <x:c r="C11" s="41" t="str">
        <x:v>Clear objective</x:v>
      </x:c>
      <x:c r="D11" t="n" s="64">
        <x:v>1</x:v>
      </x:c>
      <x:c r="E11" s="41" t="str">
        <x:v>The accepted plan defines all observed randomized-arm biopsies, participant-paired baseline-to-week-24/52 difference-in-change contrasts for molecular phenotypes on their scales; patient-aware inference and eligibility are specified before modeling.</x:v>
      </x:c>
    </x:row>
    <x:row r="12" ht="48" customHeight="1">
      <x:c r="A12" s="32" t="str">
        <x:v>FR-0003</x:v>
      </x:c>
      <x:c r="B12" s="33" t="str">
        <x:v>AutoBA</x:v>
      </x:c>
      <x:c r="C12" s="33" t="str">
        <x:v>Justified steps</x:v>
      </x:c>
      <x:c r="D12" t="n" s="65">
        <x:v>0.5</x:v>
      </x:c>
      <x:c r="E12" s="35" t="str">
        <x:v>Plan connects schema audit, participant/sample linkage and paired change to the task. It never reaches the actual audit, so data-driven eligibility, transformations and method choices are not established.</x:v>
      </x:c>
    </x:row>
    <x:row r="13" ht="48" customHeight="1">
      <x:c r="A13" s="32" t="str">
        <x:v>FR-0003</x:v>
      </x:c>
      <x:c r="B13" s="33" t="str">
        <x:v>AutoBA</x:v>
      </x:c>
      <x:c r="C13" s="33" t="str">
        <x:v>Validity checks</x:v>
      </x:c>
      <x:c r="D13" t="n" s="65">
        <x:v>0</x:v>
      </x:c>
      <x:c r="E13" s="35" t="str">
        <x:v>The first pip -y installation error is recognized and changed to mamba, but no scientific data-structure handling or method validity check is executed.</x:v>
      </x:c>
    </x:row>
    <x:row r="14" ht="48" customHeight="1">
      <x:c r="A14" s="32" t="str">
        <x:v>FR-0003</x:v>
      </x:c>
      <x:c r="B14" s="33" t="str">
        <x:v>AutoBA</x:v>
      </x:c>
      <x:c r="C14" s="33" t="str">
        <x:v>Evidence-grounded conclusions</x:v>
      </x:c>
      <x:c r="D14" t="n" s="65">
        <x:v>0</x:v>
      </x:c>
      <x:c r="E14" s="35" t="str">
        <x:v>No scientific output, report or final answer exists. The second installation stalls while linking pandas and consumes the remaining runtime budget.</x:v>
      </x:c>
    </x:row>
    <x:row r="15" ht="48" customHeight="1">
      <x:c r="A15" s="40" t="str">
        <x:v>FR-0004</x:v>
      </x:c>
      <x:c r="B15" s="41" t="str">
        <x:v>AutoBA</x:v>
      </x:c>
      <x:c r="C15" s="41" t="str">
        <x:v>Clear objective</x:v>
      </x:c>
      <x:c r="D15" t="n" s="64">
        <x:v>1</x:v>
      </x:c>
      <x:c r="E15" s="41" t="str">
        <x:v>Accepted plan defines treated POAG, the OCR-by-time interaction in annual MD dB change per1-SD higher OCR, and observational nested longitudinal inference before modeling.</x:v>
      </x:c>
    </x:row>
    <x:row r="16" ht="54" customHeight="1">
      <x:c r="A16" s="32" t="str">
        <x:v>FR-0004</x:v>
      </x:c>
      <x:c r="B16" s="33" t="str">
        <x:v>AutoBA</x:v>
      </x:c>
      <x:c r="C16" s="33" t="str">
        <x:v>Justified steps</x:v>
      </x:c>
      <x:c r="D16" t="n" s="65">
        <x:v>0.5</x:v>
      </x:c>
      <x:c r="E16" s="35" t="str">
        <x:v>Actual dictionary/table inspection motivates structural QC, but broad keyword lists include OCR-assay eye-state variables as PBMC OCR and diagnosis age as time; these mappings remain unresolved because step2 code responses are repeatedly truncated/invalid.</x:v>
      </x:c>
    </x:row>
    <x:row r="17" ht="48" customHeight="1">
      <x:c r="A17" s="32" t="str">
        <x:v>FR-0004</x:v>
      </x:c>
      <x:c r="B17" s="33" t="str">
        <x:v>AutoBA</x:v>
      </x:c>
      <x:c r="C17" s="33" t="str">
        <x:v>Validity checks</x:v>
      </x:c>
      <x:c r="D17" t="n" s="65">
        <x:v>0</x:v>
      </x:c>
      <x:c r="E17" s="35" t="str">
        <x:v>Only file schema, raw shape and candidate-variable lists are saved. Planned missingness, duplication, nested-repeat, exposure-level and follow-up checks never execute.</x:v>
      </x:c>
    </x:row>
    <x:row r="18" ht="48" customHeight="1">
      <x:c r="A18" s="32" t="str">
        <x:v>FR-0004</x:v>
      </x:c>
      <x:c r="B18" s="33" t="str">
        <x:v>AutoBA</x:v>
      </x:c>
      <x:c r="C18" s="33" t="str">
        <x:v>Evidence-grounded conclusions</x:v>
      </x:c>
      <x:c r="D18" t="n" s="65">
        <x:v>0</x:v>
      </x:c>
      <x:c r="E18" s="35" t="str">
        <x:v>No fitted scientific model, coefficient, report or answer before timeout.</x:v>
      </x:c>
    </x:row>
    <x:row r="19" ht="54" customHeight="1">
      <x:c r="A19" s="40" t="str">
        <x:v>FR-0005</x:v>
      </x:c>
      <x:c r="B19" s="41" t="str">
        <x:v>AutoBA</x:v>
      </x:c>
      <x:c r="C19" s="41" t="str">
        <x:v>Clear objective</x:v>
      </x:c>
      <x:c r="D19" t="n" s="64">
        <x:v>1</x:v>
      </x:c>
      <x:c r="E19" s="41" t="str">
        <x:v>Delivered but invalid planning text explicitly defines infant antigen-specific log-IgG age contrasts/GMR and household subsequent event associations per doubling or log-IgG in the at-risk population, before any execution.</x:v>
      </x:c>
    </x:row>
    <x:row r="20" ht="48" customHeight="1">
      <x:c r="A20" s="32" t="str">
        <x:v>FR-0005</x:v>
      </x:c>
      <x:c r="B20" s="33" t="str">
        <x:v>AutoBA</x:v>
      </x:c>
      <x:c r="C20" s="33" t="str">
        <x:v>Justified steps</x:v>
      </x:c>
      <x:c r="D20" t="n" s="65">
        <x:v>0.5</x:v>
      </x:c>
      <x:c r="E20" s="35" t="str">
        <x:v>Only public-task-grounded proposals are visible; no accepted plan or data-dependent D/M chain is executed.</x:v>
      </x:c>
    </x:row>
    <x:row r="21" ht="48" customHeight="1">
      <x:c r="A21" s="32" t="str">
        <x:v>FR-0005</x:v>
      </x:c>
      <x:c r="B21" s="33" t="str">
        <x:v>AutoBA</x:v>
      </x:c>
      <x:c r="C21" s="33" t="str">
        <x:v>Validity checks</x:v>
      </x:c>
      <x:c r="D21" t="n" s="65">
        <x:v>0</x:v>
      </x:c>
      <x:c r="E21" s="35" t="str">
        <x:v>All42 delivered planning responses are truncated at the output cap; no scientific data audit or model executes.</x:v>
      </x:c>
    </x:row>
    <x:row r="22" ht="48" customHeight="1">
      <x:c r="A22" s="32" t="str">
        <x:v>FR-0005</x:v>
      </x:c>
      <x:c r="B22" s="33" t="str">
        <x:v>AutoBA</x:v>
      </x:c>
      <x:c r="C22" s="33" t="str">
        <x:v>Evidence-grounded conclusions</x:v>
      </x:c>
      <x:c r="D22" t="n" s="65">
        <x:v>0</x:v>
      </x:c>
      <x:c r="E22" s="35" t="str">
        <x:v>No scientific report or final numerical claim exists. The only output file is empty0_response.json.</x:v>
      </x:c>
    </x:row>
    <x:row r="23" ht="48" customHeight="1">
      <x:c r="A23" s="40" t="str">
        <x:v>FR-0001</x:v>
      </x:c>
      <x:c r="B23" s="41" t="str">
        <x:v>BioMaster</x:v>
      </x:c>
      <x:c r="C23" s="41" t="str">
        <x:v>Clear objective</x:v>
      </x:c>
      <x:c r="D23" t="n" s="64">
        <x:v>1</x:v>
      </x:c>
      <x:c r="E23" s="41" t="str">
        <x:v>Before execution, the plan explicitly defines eligible adults, 0–180-minute iAUC, repeatability contrasts and per-SD SSPG/DI associations with units and uncertainty.</x:v>
      </x:c>
    </x:row>
    <x:row r="24" ht="48" customHeight="1">
      <x:c r="A24" s="32" t="str">
        <x:v>FR-0001</x:v>
      </x:c>
      <x:c r="B24" s="33" t="str">
        <x:v>BioMaster</x:v>
      </x:c>
      <x:c r="C24" s="33" t="str">
        <x:v>Justified steps</x:v>
      </x:c>
      <x:c r="D24" t="n" s="65">
        <x:v>0.5</x:v>
      </x:c>
      <x:c r="E24" s="35" t="str">
        <x:v>The plan links data auditing to eligibility and subsequent repeated-measurement analysis, but actual code uses generic column guessing and fails to identify the metadata participant ID, food, repeat and time fields.</x:v>
      </x:c>
    </x:row>
    <x:row r="25" ht="54" customHeight="1">
      <x:c r="A25" s="32" t="str">
        <x:v>FR-0001</x:v>
      </x:c>
      <x:c r="B25" s="33" t="str">
        <x:v>BioMaster</x:v>
      </x:c>
      <x:c r="C25" s="33" t="str">
        <x:v>Validity checks</x:v>
      </x:c>
      <x:c r="D25" t="n" s="65">
        <x:v>0</x:v>
      </x:c>
      <x:c r="E25" s="35" t="str">
        <x:v>The audit returns zero linkable participants due to missing column identification. This failure never drives a scientific correction; the debug loop instead retries successfully written, silent audit commands. No repeated-measurement model or scientific validity check is executed.</x:v>
      </x:c>
    </x:row>
    <x:row r="26" ht="48" customHeight="1">
      <x:c r="A26" s="32" t="str">
        <x:v>FR-0001</x:v>
      </x:c>
      <x:c r="B26" s="33" t="str">
        <x:v>BioMaster</x:v>
      </x:c>
      <x:c r="C26" s="33" t="str">
        <x:v>Evidence-grounded conclusions</x:v>
      </x:c>
      <x:c r="D26" t="n" s="65">
        <x:v>0</x:v>
      </x:c>
      <x:c r="E26" s="35" t="str">
        <x:v>No final report or main scientific estimates are produced. The runner returns exit 0 after exhausting five debug retries at step 1.</x:v>
      </x:c>
    </x:row>
    <x:row r="27" ht="48" customHeight="1">
      <x:c r="A27" s="40" t="str">
        <x:v>FR-0002</x:v>
      </x:c>
      <x:c r="B27" s="41" t="str">
        <x:v>BioMaster</x:v>
      </x:c>
      <x:c r="C27" s="41" t="str">
        <x:v>Clear objective</x:v>
      </x:c>
      <x:c r="D27" t="n" s="64">
        <x:v>1</x:v>
      </x:c>
      <x:c r="E27" s="41" t="str">
        <x:v>The saved plan defines sequencing-substudy population, doxy-minus-control baseline-to-month-6 change, microbiome/ARG outcomes and mean-difference/ratio/odds scales before execution.</x:v>
      </x:c>
    </x:row>
    <x:row r="28" ht="48" customHeight="1">
      <x:c r="A28" s="32" t="str">
        <x:v>FR-0002</x:v>
      </x:c>
      <x:c r="B28" s="33" t="str">
        <x:v>BioMaster</x:v>
      </x:c>
      <x:c r="C28" s="33" t="str">
        <x:v>Justified steps</x:v>
      </x:c>
      <x:c r="D28" t="n" s="65">
        <x:v>1</x:v>
      </x:c>
      <x:c r="E28" s="35" t="str">
        <x:v>The audit, linkage and planned longitudinal analysis follow the task dictionary. Actual debug changes respond to observed missing arm recognition and false timepoint checks.</x:v>
      </x:c>
    </x:row>
    <x:row r="29" ht="54" customHeight="1">
      <x:c r="A29" s="32" t="str">
        <x:v>FR-0002</x:v>
      </x:c>
      <x:c r="B29" s="33" t="str">
        <x:v>BioMaster</x:v>
      </x:c>
      <x:c r="C29" s="33" t="str">
        <x:v>Validity checks</x:v>
      </x:c>
      <x:c r="D29" t="n" s="65">
        <x:v>0.5</x:v>
      </x:c>
      <x:c r="E29" s="35" t="str">
        <x:v>The audit checks primary keys, participant linkage and repeated observations, and feedback corrects study_arm recognition. Day-0/month-6 verification remains false; the repair script contains invalid R escaping and no scientific model or handling of within-person dependence is reached.</x:v>
      </x:c>
    </x:row>
    <x:row r="30" ht="48" customHeight="1">
      <x:c r="A30" s="32" t="str">
        <x:v>FR-0002</x:v>
      </x:c>
      <x:c r="B30" s="33" t="str">
        <x:v>BioMaster</x:v>
      </x:c>
      <x:c r="C30" s="33" t="str">
        <x:v>Evidence-grounded conclusions</x:v>
      </x:c>
      <x:c r="D30" t="n" s="65">
        <x:v>0</x:v>
      </x:c>
      <x:c r="E30" s="35" t="str">
        <x:v>No scientific report or main estimates exist. The runner exits 0 after five failed debug attempts and breaks the outer step loop.</x:v>
      </x:c>
    </x:row>
    <x:row r="31" ht="54" customHeight="1">
      <x:c r="A31" s="40" t="str">
        <x:v>FR-0003</x:v>
      </x:c>
      <x:c r="B31" s="41" t="str">
        <x:v>BioMaster</x:v>
      </x:c>
      <x:c r="C31" s="41" t="str">
        <x:v>Clear objective</x:v>
      </x:c>
      <x:c r="D31" t="n" s="64">
        <x:v>1</x:v>
      </x:c>
      <x:c r="E31" s="41" t="str">
        <x:v>The plan fixes eligible baseline/target-follow-up paired transplant ABMR patients, randomized-arm difference in change at week24/52, raw score/model-coefficient scales and log2 expression; repeated biopsies are recognized before modeling.</x:v>
      </x:c>
    </x:row>
    <x:row r="32" ht="54" customHeight="1">
      <x:c r="A32" s="32" t="str">
        <x:v>FR-0003</x:v>
      </x:c>
      <x:c r="B32" s="33" t="str">
        <x:v>BioMaster</x:v>
      </x:c>
      <x:c r="C32" s="33" t="str">
        <x:v>Justified steps</x:v>
      </x:c>
      <x:c r="D32" t="n" s="65">
        <x:v>0.5</x:v>
      </x:c>
      <x:c r="E32" s="35" t="str">
        <x:v>Actual field, visit and expression-shape audits are performed. However, selecting binary banff_abmr_activity as a text subtype field makes all baseline eligibility flags false and yields a zero-person primary cohort; downstream QC then uses all 65 biopsies without resolving that contradiction.</x:v>
      </x:c>
    </x:row>
    <x:row r="33" ht="54" customHeight="1">
      <x:c r="A33" s="32" t="str">
        <x:v>FR-0003</x:v>
      </x:c>
      <x:c r="B33" s="33" t="str">
        <x:v>BioMaster</x:v>
      </x:c>
      <x:c r="C33" s="33" t="str">
        <x:v>Validity checks</x:v>
      </x:c>
      <x:c r="D33" t="n" s="65">
        <x:v>0.5</x:v>
      </x:c>
      <x:c r="E33" s="35" t="str">
        <x:v>One-to-one joins, duplicate keys, missingness, expression/sample overlap and PCA QC are actually executed, including 49,495 matched expression features. Invalid zero-cohort gating and disagreement with per-arm accounting are not corrected; no inferential model validity checks are reached.</x:v>
      </x:c>
    </x:row>
    <x:row r="34" ht="48" customHeight="1">
      <x:c r="A34" s="32" t="str">
        <x:v>FR-0003</x:v>
      </x:c>
      <x:c r="B34" s="33" t="str">
        <x:v>BioMaster</x:v>
      </x:c>
      <x:c r="C34" s="33" t="str">
        <x:v>Evidence-grounded conclusions</x:v>
      </x:c>
      <x:c r="D34" t="n" s="65">
        <x:v>0</x:v>
      </x:c>
      <x:c r="E34" s="35" t="str">
        <x:v>No model fit, treatment-effect report or final scientific answer is delivered. Step2 retry loop repeatedly misreads truncated package logs and exits after five attempts despite QC artifacts existing.</x:v>
      </x:c>
    </x:row>
    <x:row r="35" ht="54" customHeight="1">
      <x:c r="A35" s="40" t="str">
        <x:v>FR-0004</x:v>
      </x:c>
      <x:c r="B35" s="41" t="str">
        <x:v>BioMaster</x:v>
      </x:c>
      <x:c r="C35" s="41" t="str">
        <x:v>Clear objective</x:v>
      </x:c>
      <x:c r="D35" t="n" s="64">
        <x:v>1</x:v>
      </x:c>
      <x:c r="E35" s="41" t="str">
        <x:v>Plan before modeling specifies treated POAG, MD annual slope difference per SD OCR, observational adjusted comparison and nested patient/eye/visit units. Planned maximal-or-dictionary-primary OCR selection is explicit.</x:v>
      </x:c>
    </x:row>
    <x:row r="36" ht="67.5" customHeight="1">
      <x:c r="A36" s="32" t="str">
        <x:v>FR-0004</x:v>
      </x:c>
      <x:c r="B36" s="33" t="str">
        <x:v>BioMaster</x:v>
      </x:c>
      <x:c r="C36" s="33" t="str">
        <x:v>Justified steps</x:v>
      </x:c>
      <x:c r="D36" t="n" s="65">
        <x:v>0.5</x:v>
      </x:c>
      <x:c r="E36" s="35" t="str">
        <x:v>Dictionary/schema audit is motivated by the supplied long table, but word-boundary regexes fail to recognize basal_ocr/atp_linked_ocr/maximal_ocr because underscores are word characters; od/os substring matches misclassify unrelated variables as eye identifiers. The resulting claim of no OCR field conflicts with directly inspected columns.</x:v>
      </x:c>
    </x:row>
    <x:row r="37" ht="67.5" customHeight="1">
      <x:c r="A37" s="32" t="str">
        <x:v>FR-0004</x:v>
      </x:c>
      <x:c r="B37" s="33" t="str">
        <x:v>BioMaster</x:v>
      </x:c>
      <x:c r="C37" s="33" t="str">
        <x:v>Validity checks</x:v>
      </x:c>
      <x:c r="D37" t="n" s="65">
        <x:v>0.5</x:v>
      </x:c>
      <x:c r="E37" s="35" t="str">
        <x:v>Variable missingness, unique counts and observed ranges are actually computed. OCR measurement-level checking is skipped for every field because exposure recognition fails, and temporal interpretation incorrectly requires baseline collection despite the supplied retrospective OCR timing. No main-model check or downstream corrective feedback is reached.</x:v>
      </x:c>
    </x:row>
    <x:row r="38" ht="48" customHeight="1">
      <x:c r="A38" s="32" t="str">
        <x:v>FR-0004</x:v>
      </x:c>
      <x:c r="B38" s="33" t="str">
        <x:v>BioMaster</x:v>
      </x:c>
      <x:c r="C38" s="33" t="str">
        <x:v>Evidence-grounded conclusions</x:v>
      </x:c>
      <x:c r="D38" t="n" s="65">
        <x:v>0</x:v>
      </x:c>
      <x:c r="E38" s="35" t="str">
        <x:v>No association estimate, scientific report or final answer is produced; the saved entry is setup-only.</x:v>
      </x:c>
    </x:row>
    <x:row r="39" ht="48" customHeight="1">
      <x:c r="A39" s="40" t="str">
        <x:v>FR-0005</x:v>
      </x:c>
      <x:c r="B39" s="41" t="str">
        <x:v>BioMaster</x:v>
      </x:c>
      <x:c r="C39" s="41" t="str">
        <x:v>Clear objective</x:v>
      </x:c>
      <x:c r="D39" t="n" s="64">
        <x:v>0</x:v>
      </x:c>
      <x:c r="E39" s="41" t="str">
        <x:v>No agent-generated Q; the task text and wrapper-created files are not a solver reasoning node.</x:v>
      </x:c>
    </x:row>
    <x:row r="40" ht="48" customHeight="1">
      <x:c r="A40" s="32" t="str">
        <x:v>FR-0005</x:v>
      </x:c>
      <x:c r="B40" s="33" t="str">
        <x:v>BioMaster</x:v>
      </x:c>
      <x:c r="C40" s="33" t="str">
        <x:v>Justified steps</x:v>
      </x:c>
      <x:c r="D40" t="n" s="65">
        <x:v>0</x:v>
      </x:c>
      <x:c r="E40" s="35" t="str">
        <x:v>No model-generated scientific D/M sequence is executed.</x:v>
      </x:c>
    </x:row>
    <x:row r="41" ht="48" customHeight="1">
      <x:c r="A41" s="32" t="str">
        <x:v>FR-0005</x:v>
      </x:c>
      <x:c r="B41" s="33" t="str">
        <x:v>BioMaster</x:v>
      </x:c>
      <x:c r="C41" s="33" t="str">
        <x:v>Validity checks</x:v>
      </x:c>
      <x:c r="D41" t="n" s="65">
        <x:v>0</x:v>
      </x:c>
      <x:c r="E41" s="35" t="str">
        <x:v>No scientific data or method validity check occurs.</x:v>
      </x:c>
    </x:row>
    <x:row r="42" ht="48" customHeight="1">
      <x:c r="A42" s="32" t="str">
        <x:v>FR-0005</x:v>
      </x:c>
      <x:c r="B42" s="33" t="str">
        <x:v>BioMaster</x:v>
      </x:c>
      <x:c r="C42" s="33" t="str">
        <x:v>Evidence-grounded conclusions</x:v>
      </x:c>
      <x:c r="D42" t="n" s="65">
        <x:v>0</x:v>
      </x:c>
      <x:c r="E42" s="35" t="str">
        <x:v>No scientific conclusion, report or numerical result is produced.</x:v>
      </x:c>
    </x:row>
    <x:row r="43" ht="48" customHeight="1">
      <x:c r="A43" s="40" t="str">
        <x:v>FR-0001</x:v>
      </x:c>
      <x:c r="B43" s="41" t="str">
        <x:v>Biomni</x:v>
      </x:c>
      <x:c r="C43" s="41" t="str">
        <x:v>Clear objective</x:v>
      </x:c>
      <x:c r="D43" t="n" s="64">
        <x:v>1</x:v>
      </x:c>
      <x:c r="E43" s="41" t="str">
        <x:v>Before model execution, requests 2–3 specify seven untreated meals, curve outcomes, repeat pairing, jointly adjusted standardized SSPG/DI coefficients and complete-case population in the generated analysis code.</x:v>
      </x:c>
    </x:row>
    <x:row r="44" ht="48" customHeight="1">
      <x:c r="A44" s="32" t="str">
        <x:v>FR-0001</x:v>
      </x:c>
      <x:c r="B44" s="33" t="str">
        <x:v>Biomni</x:v>
      </x:c>
      <x:c r="C44" s="33" t="str">
        <x:v>Justified steps</x:v>
      </x:c>
      <x:c r="D44" t="n" s="65">
        <x:v>1</x:v>
      </x:c>
      <x:c r="E44" s="35" t="str">
        <x:v>Observed dictionary/time coverage drives meal exclusions and the 0–170-minute window; an observed singular Hessian drives the documented switch to participant-clustered OLS. Trace requests 2, 7.</x:v>
      </x:c>
    </x:row>
    <x:row r="45" ht="54" customHeight="1">
      <x:c r="A45" s="32" t="str">
        <x:v>FR-0001</x:v>
      </x:c>
      <x:c r="B45" s="33" t="str">
        <x:v>Biomni</x:v>
      </x:c>
      <x:c r="C45" s="33" t="str">
        <x:v>Validity checks</x:v>
      </x:c>
      <x:c r="D45" t="n" s="65">
        <x:v>0.5</x:v>
      </x:c>
      <x:c r="E45" s="35" t="str">
        <x:v>Time/curve QC and participant-clustered main/sensitivity models are executed and influence interpretation. However repeatability bootstrap resamples subject-meal pairs rather than independent participants, and the variance component labelled food is nested within participant; convergence warnings are globally suppressed.</x:v>
      </x:c>
    </x:row>
    <x:row r="46" ht="54" customHeight="1">
      <x:c r="A46" s="32" t="str">
        <x:v>FR-0001</x:v>
      </x:c>
      <x:c r="B46" s="33" t="str">
        <x:v>Biomni</x:v>
      </x:c>
      <x:c r="C46" s="33" t="str">
        <x:v>Evidence-grounded conclusions</x:v>
      </x:c>
      <x:c r="D46" t="n" s="65">
        <x:v>0.5</x:v>
      </x:c>
      <x:c r="E46" s="35" t="str">
        <x:v>The final SSPG/DI language is revised to follow cross-zero confidence intervals, and numeric estimates replay. The claimed stable variance fraction lacks uncertainty and is described as adjusted meal variance despite nested food components.</x:v>
      </x:c>
    </x:row>
    <x:row r="47" ht="48" customHeight="1">
      <x:c r="A47" s="40" t="str">
        <x:v>FR-0002</x:v>
      </x:c>
      <x:c r="B47" s="41" t="str">
        <x:v>Biomni</x:v>
      </x:c>
      <x:c r="C47" s="41" t="str">
        <x:v>Clear objective</x:v>
      </x:c>
      <x:c r="D47" t="n" s="64">
        <x:v>1</x:v>
      </x:c>
      <x:c r="E47" s="41" t="str">
        <x:v>Before execution specifies assay-specific complete pairs, doxy-minus-control change contrast, log10 absolute ARG mass with fixed offset and Shannon units.</x:v>
      </x:c>
    </x:row>
    <x:row r="48" ht="54" customHeight="1">
      <x:c r="A48" s="32" t="str">
        <x:v>FR-0002</x:v>
      </x:c>
      <x:c r="B48" s="33" t="str">
        <x:v>Biomni</x:v>
      </x:c>
      <x:c r="C48" s="33" t="str">
        <x:v>Justified steps</x:v>
      </x:c>
      <x:c r="D48" t="n" s="65">
        <x:v>1</x:v>
      </x:c>
      <x:c r="E48" s="35" t="str">
        <x:v>Observed unequal DNA/RNA visit availability drives assay-specific pairing; the public zero-call definition drives ARG zero filling; paired changes, arm-stratified patient bootstrap and Welch comparisons implement the defined target.</x:v>
      </x:c>
    </x:row>
    <x:row r="49" ht="48" customHeight="1">
      <x:c r="A49" s="32" t="str">
        <x:v>FR-0002</x:v>
      </x:c>
      <x:c r="B49" s="33" t="str">
        <x:v>Biomni</x:v>
      </x:c>
      <x:c r="C49" s="33" t="str">
        <x:v>Validity checks</x:v>
      </x:c>
      <x:c r="D49" t="n" s="65">
        <x:v>1</x:v>
      </x:c>
      <x:c r="E49" s="35" t="str">
        <x:v>Pair accounting, missing-visit restriction and assay separation are executed and bound final inference to observed paired sequencing participants. The report avoids equating cross-zero CIs with proof of no effect.</x:v>
      </x:c>
    </x:row>
    <x:row r="50" ht="48" customHeight="1">
      <x:c r="A50" s="32" t="str">
        <x:v>FR-0002</x:v>
      </x:c>
      <x:c r="B50" s="33" t="str">
        <x:v>Biomni</x:v>
      </x:c>
      <x:c r="C50" s="33" t="str">
        <x:v>Evidence-grounded conclusions</x:v>
      </x:c>
      <x:c r="D50" t="n" s="65">
        <x:v>1</x:v>
      </x:c>
      <x:c r="E50" s="35" t="str">
        <x:v>All main estimates and uncertainty match replayed artifacts. The final conclusion explicitly reports imprecision and restricts its target population.</x:v>
      </x:c>
    </x:row>
    <x:row r="51" ht="48" customHeight="1">
      <x:c r="A51" s="40" t="str">
        <x:v>FR-0003</x:v>
      </x:c>
      <x:c r="B51" s="41" t="str">
        <x:v>Biomni</x:v>
      </x:c>
      <x:c r="C51" s="41" t="str">
        <x:v>Clear objective</x:v>
      </x:c>
      <x:c r="D51" t="n" s="64">
        <x:v>1</x:v>
      </x:c>
      <x:c r="E51" s="41" t="str">
        <x:v>Before fitting specifies observed baseline/follow-up pairs, mean within-person score changes, Felzartamab-minus-placebo contrast and raw probability/PBT units.</x:v>
      </x:c>
    </x:row>
    <x:row r="52" ht="48" customHeight="1">
      <x:c r="A52" s="32" t="str">
        <x:v>FR-0003</x:v>
      </x:c>
      <x:c r="B52" s="33" t="str">
        <x:v>Biomni</x:v>
      </x:c>
      <x:c r="C52" s="33" t="str">
        <x:v>Justified steps</x:v>
      </x:c>
      <x:c r="D52" t="n" s="65">
        <x:v>1</x:v>
      </x:c>
      <x:c r="E52" s="35" t="str">
        <x:v>Audit of repeated/incomplete biopsies motivates visit-specific pairing; randomization motivates arm-separated participant bootstrap and fixed biological endpoint groups.</x:v>
      </x:c>
    </x:row>
    <x:row r="53" ht="48" customHeight="1">
      <x:c r="A53" s="32" t="str">
        <x:v>FR-0003</x:v>
      </x:c>
      <x:c r="B53" s="33" t="str">
        <x:v>Biomni</x:v>
      </x:c>
      <x:c r="C53" s="33" t="str">
        <x:v>Validity checks</x:v>
      </x:c>
      <x:c r="D53" t="n" s="65">
        <x:v>0.5</x:v>
      </x:c>
      <x:c r="E53" s="35" t="str">
        <x:v>Within-patient pairing and arm-stratified bootstrap are implemented, and incomplete visits constrain interpretation. The declared two-center nesting is not handled or examined; tissue composition is only discussed.</x:v>
      </x:c>
    </x:row>
    <x:row r="54" ht="48" customHeight="1">
      <x:c r="A54" s="32" t="str">
        <x:v>FR-0003</x:v>
      </x:c>
      <x:c r="B54" s="33" t="str">
        <x:v>Biomni</x:v>
      </x:c>
      <x:c r="C54" s="33" t="str">
        <x:v>Evidence-grounded conclusions</x:v>
      </x:c>
      <x:c r="D54" t="n" s="65">
        <x:v>1</x:v>
      </x:c>
      <x:c r="E54" s="35" t="str">
        <x:v>All effect, CI and sample-count claims are supported by exact replayed tables. Treatment-period benefit versus later loss of ABMR separation is distinguished from uncertain exploratory endpoints.</x:v>
      </x:c>
    </x:row>
    <x:row r="55" ht="48" customHeight="1">
      <x:c r="A55" s="40" t="str">
        <x:v>FR-0004</x:v>
      </x:c>
      <x:c r="B55" s="41" t="str">
        <x:v>Biomni</x:v>
      </x:c>
      <x:c r="C55" s="41" t="str">
        <x:v>Clear objective</x:v>
      </x:c>
      <x:c r="D55" t="n" s="64">
        <x:v>1</x:v>
      </x:c>
      <x:c r="E55" s="41" t="str">
        <x:v>Request 2 explicitly defines maximal OCR as primary, dB/year slope difference per patient-level SD, available treated POAG population and covariate/nesting choices before proposed model execution.</x:v>
      </x:c>
    </x:row>
    <x:row r="56" ht="48" customHeight="1">
      <x:c r="A56" s="32" t="str">
        <x:v>FR-0004</x:v>
      </x:c>
      <x:c r="B56" s="33" t="str">
        <x:v>Biomni</x:v>
      </x:c>
      <x:c r="C56" s="33" t="str">
        <x:v>Justified steps</x:v>
      </x:c>
      <x:c r="D56" t="n" s="65">
        <x:v>0.5</x:v>
      </x:c>
      <x:c r="E56" s="35" t="str">
        <x:v>The input audit and script construction follow the dictionary, but the statistical pipeline is only written and is never executed.</x:v>
      </x:c>
    </x:row>
    <x:row r="57" ht="48" customHeight="1">
      <x:c r="A57" s="32" t="str">
        <x:v>FR-0004</x:v>
      </x:c>
      <x:c r="B57" s="33" t="str">
        <x:v>Biomni</x:v>
      </x:c>
      <x:c r="C57" s="33" t="str">
        <x:v>Validity checks</x:v>
      </x:c>
      <x:c r="D57" t="n" s="65">
        <x:v>0.5</x:v>
      </x:c>
      <x:c r="E57" s="35" t="str">
        <x:v>The input-audit block executes shape, missingness and unique-count checks; most output is truncated to 10K characters. No fitted model, convergence/residual check or result-driven revision follows.</x:v>
      </x:c>
    </x:row>
    <x:row r="58" ht="48" customHeight="1">
      <x:c r="A58" s="32" t="str">
        <x:v>FR-0004</x:v>
      </x:c>
      <x:c r="B58" s="33" t="str">
        <x:v>Biomni</x:v>
      </x:c>
      <x:c r="C58" s="33" t="str">
        <x:v>Evidence-grounded conclusions</x:v>
      </x:c>
      <x:c r="D58" t="n" s="65">
        <x:v>0</x:v>
      </x:c>
      <x:c r="E58" s="35" t="str">
        <x:v>No computed OCR–MD estimate or uncertainty exists. Final response acknowledges non-execution while incorrectly asserting that execution tools are unavailable.</x:v>
      </x:c>
    </x:row>
    <x:row r="59" ht="48" customHeight="1">
      <x:c r="A59" s="40" t="str">
        <x:v>FR-0005</x:v>
      </x:c>
      <x:c r="B59" s="41" t="str">
        <x:v>Biomni</x:v>
      </x:c>
      <x:c r="C59" s="41" t="str">
        <x:v>Clear objective</x:v>
      </x:c>
      <x:c r="D59" t="n" s="64">
        <x:v>1</x:v>
      </x:c>
      <x:c r="E59" s="41" t="str">
        <x:v>Before execution specifies infant paired log10 IgG change and household subsequent event rate per one SD recent IgG, eligible observation intervals, and IRR scale.</x:v>
      </x:c>
    </x:row>
    <x:row r="60" ht="48" customHeight="1">
      <x:c r="A60" s="32" t="str">
        <x:v>FR-0005</x:v>
      </x:c>
      <x:c r="B60" s="33" t="str">
        <x:v>Biomni</x:v>
      </x:c>
      <x:c r="C60" s="33" t="str">
        <x:v>Justified steps</x:v>
      </x:c>
      <x:c r="D60" t="n" s="65">
        <x:v>1</x:v>
      </x:c>
      <x:c r="E60" s="35" t="str">
        <x:v>Dictionary-defined actual measurement dates, gaps, recurrent participant-days and household nesting drive interval truncation, event deduplication, person-time offset and household GEE.</x:v>
      </x:c>
    </x:row>
    <x:row r="61" ht="54" customHeight="1">
      <x:c r="A61" s="32" t="str">
        <x:v>FR-0005</x:v>
      </x:c>
      <x:c r="B61" s="33" t="str">
        <x:v>Biomni</x:v>
      </x:c>
      <x:c r="C61" s="33" t="str">
        <x:v>Validity checks</x:v>
      </x:c>
      <x:c r="D61" t="n" s="65">
        <x:v>0.5</x:v>
      </x:c>
      <x:c r="E61" s="35" t="str">
        <x:v>Patient/day duplication, observation gaps, repeat exposure and household clustering are handled. Unknown event statuses are omitted from event numerators while their interval time is retained; the claim that missingness is fully addressed is not supported by a check/sensitivity analysis.</x:v>
      </x:c>
    </x:row>
    <x:row r="62" ht="54" customHeight="1">
      <x:c r="A62" s="32" t="str">
        <x:v>FR-0005</x:v>
      </x:c>
      <x:c r="B62" s="33" t="str">
        <x:v>Biomni</x:v>
      </x:c>
      <x:c r="C62" s="33" t="str">
        <x:v>Evidence-grounded conclusions</x:v>
      </x:c>
      <x:c r="D62" t="n" s="65">
        <x:v>1</x:v>
      </x:c>
      <x:c r="E62" s="35" t="str">
        <x:v>Numerical claims and confidence intervals reproduce exactly, including conversion from log10 to geometric means and rate reduction percentages. Main claims distinguish event/carriage associations from uncertain infection effects and avoid causal protection language.</x:v>
      </x:c>
    </x:row>
    <x:row r="63" ht="48" customHeight="1">
      <x:c r="A63" s="40" t="str">
        <x:v>FR-0001</x:v>
      </x:c>
      <x:c r="B63" s="41" t="str">
        <x:v>BixBench-Agent</x:v>
      </x:c>
      <x:c r="C63" s="41" t="str">
        <x:v>Clear objective</x:v>
      </x:c>
      <x:c r="D63" t="n" s="64">
        <x:v>1</x:v>
      </x:c>
      <x:c r="E63" s="41" t="str">
        <x:v>Notebook cell 1 defines the base-meal population, integrated incremental glucose outcome and interval, same-person-by-meal repeatability, Rice contrasts and per-SD physiology association before modeling.</x:v>
      </x:c>
    </x:row>
    <x:row r="64" ht="48" customHeight="1">
      <x:c r="A64" s="32" t="str">
        <x:v>FR-0001</x:v>
      </x:c>
      <x:c r="B64" s="33" t="str">
        <x:v>BixBench-Agent</x:v>
      </x:c>
      <x:c r="C64" s="33" t="str">
        <x:v>Justified steps</x:v>
      </x:c>
      <x:c r="D64" t="n" s="65">
        <x:v>1</x:v>
      </x:c>
      <x:c r="E64" s="35" t="str">
        <x:v>Public schema inspection drives challenge keys and baseline selection; input nesting motivates participant-meal groups, participant fixed effects, participant bootstrap and participant-level phenotype regression.</x:v>
      </x:c>
    </x:row>
    <x:row r="65" ht="67.5" customHeight="1">
      <x:c r="A65" s="32" t="str">
        <x:v>FR-0001</x:v>
      </x:c>
      <x:c r="B65" s="33" t="str">
        <x:v>BixBench-Agent</x:v>
      </x:c>
      <x:c r="C65" s="33" t="str">
        <x:v>Validity checks</x:v>
      </x:c>
      <x:c r="D65" t="n" s="65">
        <x:v>0.5</x:v>
      </x:c>
      <x:c r="E65" s="35" t="str">
        <x:v>Per-participant bootstrap, clustered/HC3 uncertainty and leave-one-meal-out checks are executed. The ICC groups participant×meal without meal fixed effects, so food mean differences also contribute to between-group variance; this is not isolated from repeatable person differences. Coverage count 35 is recorded, but reported complete 0–180-minute coverage is actually 0–170.</x:v>
      </x:c>
    </x:row>
    <x:row r="66" ht="54" customHeight="1">
      <x:c r="A66" s="32" t="str">
        <x:v>FR-0001</x:v>
      </x:c>
      <x:c r="B66" s="33" t="str">
        <x:v>BixBench-Agent</x:v>
      </x:c>
      <x:c r="C66" s="33" t="str">
        <x:v>Evidence-grounded conclusions</x:v>
      </x:c>
      <x:c r="D66" t="n" s="65">
        <x:v>0.5</x:v>
      </x:c>
      <x:c r="E66" s="35" t="str">
        <x:v>Reported numerical results are supported and null-crossing phenotype intervals are interpreted cautiously. However attributing the pooled person×meal ICC solely to stable individual ranking is stronger than its model supports, and the stated 180-minute integration window disagrees with actual data.</x:v>
      </x:c>
    </x:row>
    <x:row r="67" ht="48" customHeight="1">
      <x:c r="A67" s="40" t="str">
        <x:v>FR-0002</x:v>
      </x:c>
      <x:c r="B67" s="41" t="str">
        <x:v>BixBench-Agent</x:v>
      </x:c>
      <x:c r="C67" s="41" t="str">
        <x:v>Clear objective</x:v>
      </x:c>
      <x:c r="D67" t="n" s="64">
        <x:v>1</x:v>
      </x:c>
      <x:c r="E67" s="41" t="str">
        <x:v>Notebook cell 1 defines the selected population, participant-level month-6 minus day-0 arm contrast, total mass/richness/Shannon outcomes and log10/count/entropy scales before fitting.</x:v>
      </x:c>
    </x:row>
    <x:row r="68" ht="54" customHeight="1">
      <x:c r="A68" s="32" t="str">
        <x:v>FR-0002</x:v>
      </x:c>
      <x:c r="B68" s="33" t="str">
        <x:v>BixBench-Agent</x:v>
      </x:c>
      <x:c r="C68" s="33" t="str">
        <x:v>Justified steps</x:v>
      </x:c>
      <x:c r="D68" t="n" s="65">
        <x:v>1</x:v>
      </x:c>
      <x:c r="E68" s="35" t="str">
        <x:v>Separate assays, pairing and ANCOVA sensitivity follow the inspected sample dictionary and repeated-participant structure. Debug feedback reacts to initial all-zero tet results, although the replacement selector remains scientifically wrong.</x:v>
      </x:c>
    </x:row>
    <x:row r="69" ht="54" customHeight="1">
      <x:c r="A69" s="32" t="str">
        <x:v>FR-0002</x:v>
      </x:c>
      <x:c r="B69" s="33" t="str">
        <x:v>BixBench-Agent</x:v>
      </x:c>
      <x:c r="C69" s="33" t="str">
        <x:v>Validity checks</x:v>
      </x:c>
      <x:c r="D69" t="n" s="65">
        <x:v>0.5</x:v>
      </x:c>
      <x:c r="E69" s="35" t="str">
        <x:v>Participant pairing and separate assay sets are handled and the initial all-zero tet outcome triggers code repair. The replacement substring selector matches all three scope categories, including non_tetracycline, so a stated outcome-definition constraint remains unhandled.</x:v>
      </x:c>
    </x:row>
    <x:row r="70" ht="54" customHeight="1">
      <x:c r="A70" s="32" t="str">
        <x:v>FR-0002</x:v>
      </x:c>
      <x:c r="B70" s="33" t="str">
        <x:v>BixBench-Agent</x:v>
      </x:c>
      <x:c r="C70" s="33" t="str">
        <x:v>Evidence-grounded conclusions</x:v>
      </x:c>
      <x:c r="D70" t="n" s="65">
        <x:v>0.5</x:v>
      </x:c>
      <x:c r="E70" s="35" t="str">
        <x:v>Numbers and uncertainty regenerate exactly, but report prose says higher/positive for negative DNA and RNA estimates, and tet-specific claims are based on all-class mass. The final answer correctly describes negative total-mass point estimates but does not resolve the saved report contradictions.</x:v>
      </x:c>
    </x:row>
    <x:row r="71" ht="54" customHeight="1">
      <x:c r="A71" s="40" t="str">
        <x:v>FR-0003</x:v>
      </x:c>
      <x:c r="B71" s="41" t="str">
        <x:v>BixBench-Agent</x:v>
      </x:c>
      <x:c r="C71" s="41" t="str">
        <x:v>Clear objective</x:v>
      </x:c>
      <x:c r="D71" t="n" s="64">
        <x:v>1</x:v>
      </x:c>
      <x:c r="E71" s="41" t="str">
        <x:v>Before inference, cell2 fixes patient-level paired baseline-to-week24/52 mean-change treatment contrasts, visit-specific eligibility and score families; cell3 defines baseline-pooled SD scaling before composite model execution.</x:v>
      </x:c>
    </x:row>
    <x:row r="72" ht="48" customHeight="1">
      <x:c r="A72" s="32" t="str">
        <x:v>FR-0003</x:v>
      </x:c>
      <x:c r="B72" s="33" t="str">
        <x:v>BixBench-Agent</x:v>
      </x:c>
      <x:c r="C72" s="33" t="str">
        <x:v>Justified steps</x:v>
      </x:c>
      <x:c r="D72" t="n" s="65">
        <x:v>1</x:v>
      </x:c>
      <x:c r="E72" s="35" t="str">
        <x:v>Public dictionary/README determines family members; actual uniqueness, metadata-score coverage and visit balance checks motivate within-patient pairing and stratified patient bootstrap.</x:v>
      </x:c>
    </x:row>
    <x:row r="73" ht="54" customHeight="1">
      <x:c r="A73" s="32" t="str">
        <x:v>FR-0003</x:v>
      </x:c>
      <x:c r="B73" s="33" t="str">
        <x:v>BixBench-Agent</x:v>
      </x:c>
      <x:c r="C73" s="33" t="str">
        <x:v>Validity checks</x:v>
      </x:c>
      <x:c r="D73" t="n" s="65">
        <x:v>0.5</x:v>
      </x:c>
      <x:c r="E73" s="35" t="str">
        <x:v>Patient pairing, visit availability, missing score audit and one-to-one joins are checked. Declared center structure remains unaddressed; bootstrap freezes estimated baseline SD scaling rather than recomputing it, and no sensitivity analysis quantifies that uncertainty.</x:v>
      </x:c>
    </x:row>
    <x:row r="74" ht="54" customHeight="1">
      <x:c r="A74" s="32" t="str">
        <x:v>FR-0003</x:v>
      </x:c>
      <x:c r="B74" s="33" t="str">
        <x:v>BixBench-Agent</x:v>
      </x:c>
      <x:c r="C74" s="33" t="str">
        <x:v>Evidence-grounded conclusions</x:v>
      </x:c>
      <x:c r="D74" t="n" s="65">
        <x:v>1</x:v>
      </x:c>
      <x:c r="E74" s="35" t="str">
        <x:v>All 59 reported result numbers match executed outputs at displayed precision. Conclusions distinguish week24 activity suppression, uncertain week52 activity, delayed injury, and inconclusive ancillary families with exploratory/multiplicity caveats.</x:v>
      </x:c>
    </x:row>
    <x:row r="75" ht="48" customHeight="1">
      <x:c r="A75" s="40" t="str">
        <x:v>FR-0004</x:v>
      </x:c>
      <x:c r="B75" s="41" t="str">
        <x:v>BixBench-Agent</x:v>
      </x:c>
      <x:c r="C75" s="41" t="str">
        <x:v>Clear objective</x:v>
      </x:c>
      <x:c r="D75" t="n" s="64">
        <x:v>1</x:v>
      </x:c>
      <x:c r="E75" s="41" t="str">
        <x:v>cell2 pre-model comments explicitly define treated POAG, adjusted MD annual-slope difference per patient-level SD basal OCR, nesting, supporting markers and observational interpretation.</x:v>
      </x:c>
    </x:row>
    <x:row r="76" ht="54" customHeight="1">
      <x:c r="A76" s="32" t="str">
        <x:v>FR-0004</x:v>
      </x:c>
      <x:c r="B76" s="33" t="str">
        <x:v>BixBench-Agent</x:v>
      </x:c>
      <x:c r="C76" s="33" t="str">
        <x:v>Justified steps</x:v>
      </x:c>
      <x:c r="D76" t="n" s="65">
        <x:v>1</x:v>
      </x:c>
      <x:c r="E76" s="35" t="str">
        <x:v>Dictionary and observed missingness/repeated visits motivate patient-cluster GEE, actual irregular time, patient-level scaling, within-eye IOP interpolation, complete-case sensitivity and alternate eye grouping. The complete original entry is actually executed in cell3.</x:v>
      </x:c>
    </x:row>
    <x:row r="77" ht="67.5" customHeight="1">
      <x:c r="A77" s="32" t="str">
        <x:v>FR-0004</x:v>
      </x:c>
      <x:c r="B77" s="33" t="str">
        <x:v>BixBench-Agent</x:v>
      </x:c>
      <x:c r="C77" s="33" t="str">
        <x:v>Validity checks</x:v>
      </x:c>
      <x:c r="D77" t="n" s="65">
        <x:v>0.5</x:v>
      </x:c>
      <x:c r="E77" s="35" t="str">
        <x:v>Patient-cluster sandwich inference handles repeated eyes/visits; actual counts/follow-up/residual summaries and missing-IOP/eye-group sensitivities are executed and reported. Surgery-dependent observation windows are only described and acknowledged as potentially informative, without an executed check feeding this aspect into the main conclusion.</x:v>
      </x:c>
    </x:row>
    <x:row r="78" ht="54" customHeight="1">
      <x:c r="A78" s="32" t="str">
        <x:v>FR-0004</x:v>
      </x:c>
      <x:c r="B78" s="33" t="str">
        <x:v>BixBench-Agent</x:v>
      </x:c>
      <x:c r="C78" s="33" t="str">
        <x:v>Evidence-grounded conclusions</x:v>
      </x:c>
      <x:c r="D78" t="n" s="65">
        <x:v>1</x:v>
      </x:c>
      <x:c r="E78" s="35" t="str">
        <x:v>All56 reported result-number occurrences are supported by the executed tables; full precision is preserved. Final answer explicitly says the interval contains no association and the data do not give precise evidence. Supporting markers are separately fitted with Holm values, and no causal claim is made.</x:v>
      </x:c>
    </x:row>
    <x:row r="79" ht="48" customHeight="1">
      <x:c r="A79" s="40" t="str">
        <x:v>FR-0005</x:v>
      </x:c>
      <x:c r="B79" s="41" t="str">
        <x:v>BixBench-Agent</x:v>
      </x:c>
      <x:c r="C79" s="41" t="str">
        <x:v>Clear objective</x:v>
      </x:c>
      <x:c r="D79" t="n" s="64">
        <x:v>0</x:v>
      </x:c>
      <x:c r="E79" s="41" t="str">
        <x:v>No agent-generated Q; the task text and wrapper-created files are not a solver reasoning node.</x:v>
      </x:c>
    </x:row>
    <x:row r="80" ht="48" customHeight="1">
      <x:c r="A80" s="32" t="str">
        <x:v>FR-0005</x:v>
      </x:c>
      <x:c r="B80" s="33" t="str">
        <x:v>BixBench-Agent</x:v>
      </x:c>
      <x:c r="C80" s="33" t="str">
        <x:v>Justified steps</x:v>
      </x:c>
      <x:c r="D80" t="n" s="65">
        <x:v>0</x:v>
      </x:c>
      <x:c r="E80" s="35" t="str">
        <x:v>No model-generated scientific D/M sequence is executed.</x:v>
      </x:c>
    </x:row>
    <x:row r="81" ht="48" customHeight="1">
      <x:c r="A81" s="32" t="str">
        <x:v>FR-0005</x:v>
      </x:c>
      <x:c r="B81" s="33" t="str">
        <x:v>BixBench-Agent</x:v>
      </x:c>
      <x:c r="C81" s="33" t="str">
        <x:v>Validity checks</x:v>
      </x:c>
      <x:c r="D81" t="n" s="65">
        <x:v>0</x:v>
      </x:c>
      <x:c r="E81" s="35" t="str">
        <x:v>No scientific data or method validity check occurs.</x:v>
      </x:c>
    </x:row>
    <x:row r="82" ht="48" customHeight="1">
      <x:c r="A82" s="32" t="str">
        <x:v>FR-0005</x:v>
      </x:c>
      <x:c r="B82" s="33" t="str">
        <x:v>BixBench-Agent</x:v>
      </x:c>
      <x:c r="C82" s="33" t="str">
        <x:v>Evidence-grounded conclusions</x:v>
      </x:c>
      <x:c r="D82" t="n" s="65">
        <x:v>0</x:v>
      </x:c>
      <x:c r="E82" s="35" t="str">
        <x:v>No scientific conclusion, report or numerical result is produced.</x:v>
      </x:c>
    </x:row>
    <x:row r="83" ht="54" customHeight="1">
      <x:c r="A83" s="40" t="str">
        <x:v>FR-0001</x:v>
      </x:c>
      <x:c r="B83" s="41" t="str">
        <x:v>STELLA</x:v>
      </x:c>
      <x:c r="C83" s="41" t="str">
        <x:v>Clear objective</x:v>
      </x:c>
      <x:c r="D83" t="n" s="64">
        <x:v>1</x:v>
      </x:c>
      <x:c r="E83" s="41" t="str">
        <x:v>Before model execution, inspection and developer instructions define the base-meal population, 0–120-minute iAUC units, participant/meal variance partition and per-SD SSPG/DI effects. Later covariance estimand is explicitly defined before its fresh execution.</x:v>
      </x:c>
    </x:row>
    <x:row r="84" ht="54" customHeight="1">
      <x:c r="A84" s="32" t="str">
        <x:v>FR-0001</x:v>
      </x:c>
      <x:c r="B84" s="33" t="str">
        <x:v>STELLA</x:v>
      </x:c>
      <x:c r="C84" s="33" t="str">
        <x:v>Justified steps</x:v>
      </x:c>
      <x:c r="D84" t="n" s="65">
        <x:v>1</x:v>
      </x:c>
      <x:c r="E84" s="35" t="str">
        <x:v>Observed nested and unbalanced CGM structure motivates curve outcomes, meal effects, participant and participant×food variance components and participant bootstrap; actual failed bootstrap and critic feedback motivate direct same/different-food covariance inference.</x:v>
      </x:c>
    </x:row>
    <x:row r="85" ht="54" customHeight="1">
      <x:c r="A85" s="32" t="str">
        <x:v>FR-0001</x:v>
      </x:c>
      <x:c r="B85" s="33" t="str">
        <x:v>STELLA</x:v>
      </x:c>
      <x:c r="C85" s="33" t="str">
        <x:v>Validity checks</x:v>
      </x:c>
      <x:c r="D85" t="n" s="65">
        <x:v>1</x:v>
      </x:c>
      <x:c r="E85" s="35" t="str">
        <x:v>Checks actual grid and missingness, retains participant/meal nesting and duplicate bootstrap participant instances, re-estimates food means within each draw, distinguishes repeat correlation from meal-specific individuality, and responds to zero-success variance-model bootstrap by withdrawing that inference.</x:v>
      </x:c>
    </x:row>
    <x:row r="86" ht="81" customHeight="1">
      <x:c r="A86" s="32" t="str">
        <x:v>FR-0001</x:v>
      </x:c>
      <x:c r="B86" s="33" t="str">
        <x:v>STELLA</x:v>
      </x:c>
      <x:c r="C86" s="33" t="str">
        <x:v>Evidence-grounded conclusions</x:v>
      </x:c>
      <x:c r="D86" t="n" s="65">
        <x:v>0.5</x:v>
      </x:c>
      <x:c r="E86" s="35" t="str">
        <x:v>Primary repeat/covariance claims have matching executed estimates and uncertainty. The final answer reintroduces earlier executed phenotype CIs/sensitivity results, while the final report and single-entry script declare phenotype uncertainty unavailable and omit those analyses. These values are real earlier evidence, but final deliverables give inconsistent uncertainty/provenance and cannot all be regenerated by the delivered entry.</x:v>
      </x:c>
    </x:row>
    <x:row r="87" ht="54" customHeight="1">
      <x:c r="A87" s="40" t="str">
        <x:v>FR-0002</x:v>
      </x:c>
      <x:c r="B87" s="41" t="str">
        <x:v>STELLA</x:v>
      </x:c>
      <x:c r="C87" s="41" t="str">
        <x:v>Clear objective</x:v>
      </x:c>
      <x:c r="D87" t="n" s="64">
        <x:v>1</x:v>
      </x:c>
      <x:c r="E87" s="41" t="str">
        <x:v>Before fitting, the plan defines the sequencing subsample, between-arm baseline-to-month-6 change, resistome/microbiome outcomes and difference/ratio scales; concrete paired log1p/raw scales are stated before the final main calculations.</x:v>
      </x:c>
    </x:row>
    <x:row r="88" ht="54" customHeight="1">
      <x:c r="A88" s="32" t="str">
        <x:v>FR-0002</x:v>
      </x:c>
      <x:c r="B88" s="33" t="str">
        <x:v>STELLA</x:v>
      </x:c>
      <x:c r="C88" s="33" t="str">
        <x:v>Justified steps</x:v>
      </x:c>
      <x:c r="D88" t="n" s="65">
        <x:v>1</x:v>
      </x:c>
      <x:c r="E88" s="35" t="str">
        <x:v>Sample/pair audits and mass reconstruction checks guide the paired DNA main analysis, smaller RNA supportive analysis and separate proportion/absolute-mass comparisons. Interpreter failures drive smaller directly executable calculation blocks.</x:v>
      </x:c>
    </x:row>
    <x:row r="89" ht="67.5" customHeight="1">
      <x:c r="A89" s="32" t="str">
        <x:v>FR-0002</x:v>
      </x:c>
      <x:c r="B89" s="33" t="str">
        <x:v>STELLA</x:v>
      </x:c>
      <x:c r="C89" s="33" t="str">
        <x:v>Validity checks</x:v>
      </x:c>
      <x:c r="D89" t="n" s="65">
        <x:v>1</x:v>
      </x:c>
      <x:c r="E89" s="35" t="str">
        <x:v>Actual checks verify sample linking, assay-specific pairing and reconstruction of total mass from calls. Feedback leads to separate DNA and RNA analyses and explicitly weaker interpretation for sparse RNA data. Declared repeated observations are handled at participant level; different assay sets are not treated as complete channels.</x:v>
      </x:c>
    </x:row>
    <x:row r="90" ht="54" customHeight="1">
      <x:c r="A90" s="32" t="str">
        <x:v>FR-0002</x:v>
      </x:c>
      <x:c r="B90" s="33" t="str">
        <x:v>STELLA</x:v>
      </x:c>
      <x:c r="C90" s="33" t="str">
        <x:v>Evidence-grounded conclusions</x:v>
      </x:c>
      <x:c r="D90" t="n" s="65">
        <x:v>0.5</x:v>
      </x:c>
      <x:c r="E90" s="35" t="str">
        <x:v>All 87 report/answer numbers have artifacts and uncertainty; however the claim of a complete reproducible single entry is not supported. Its attempted exec was forbidden, it changes RNA permutations from 500 to 1000, and it omits the final-answer dose analysis; validation only checks file existence.</x:v>
      </x:c>
    </x:row>
    <x:row r="91" ht="48" customHeight="1">
      <x:c r="A91" s="40" t="str">
        <x:v>FR-0003</x:v>
      </x:c>
      <x:c r="B91" s="41" t="str">
        <x:v>STELLA</x:v>
      </x:c>
      <x:c r="C91" s="41" t="str">
        <x:v>Clear objective</x:v>
      </x:c>
      <x:c r="D91" t="n" s="64">
        <x:v>1</x:v>
      </x:c>
      <x:c r="E91" s="41" t="str">
        <x:v>Before inference, requests1/6 and the dev-agent task define available patient pairs, baseline-adjusted Felzartamab-minus-placebo mean change at week24/52, raw outcome-specific scales and exploratory population limits.</x:v>
      </x:c>
    </x:row>
    <x:row r="92" ht="54" customHeight="1">
      <x:c r="A92" s="32" t="str">
        <x:v>FR-0003</x:v>
      </x:c>
      <x:c r="B92" s="33" t="str">
        <x:v>STELLA</x:v>
      </x:c>
      <x:c r="C92" s="33" t="str">
        <x:v>Justified steps</x:v>
      </x:c>
      <x:c r="D92" t="n" s="65">
        <x:v>1</x:v>
      </x:c>
      <x:c r="E92" s="35" t="str">
        <x:v>Observed visit counts and patient randomization motivate paired ANCOVA, HC3 uncertainty and patient bootstrap; exact allocation enumeration is implemented as a conventional-OLS ANCOVA sensitivity with its statistic distinguished from the robust main fit.</x:v>
      </x:c>
    </x:row>
    <x:row r="93" ht="67.5" customHeight="1">
      <x:c r="A93" s="32" t="str">
        <x:v>FR-0003</x:v>
      </x:c>
      <x:c r="B93" s="33" t="str">
        <x:v>STELLA</x:v>
      </x:c>
      <x:c r="C93" s="33" t="str">
        <x:v>Validity checks</x:v>
      </x:c>
      <x:c r="D93" t="n" s="65">
        <x:v>0.5</x:v>
      </x:c>
      <x:c r="E93" s="35" t="str">
        <x:v>One-to-one joins, visit/arm availability, raw-change bootstrap, exact allocation enumeration and all-42-comparison BH correction are executed. Documented center nesting and implications of conditioning on observed follow-up pairs for trial randomization are not addressed; design-exact inference beyond the stated sensitivity subset is not established.</x:v>
      </x:c>
    </x:row>
    <x:row r="94" ht="54" customHeight="1">
      <x:c r="A94" s="32" t="str">
        <x:v>FR-0003</x:v>
      </x:c>
      <x:c r="B94" s="33" t="str">
        <x:v>STELLA</x:v>
      </x:c>
      <x:c r="C94" s="33" t="str">
        <x:v>Evidence-grounded conclusions</x:v>
      </x:c>
      <x:c r="D94" t="n" s="65">
        <x:v>1</x:v>
      </x:c>
      <x:c r="E94" s="35" t="str">
        <x:v>All 262 result-number occurrences in report.md/answer.txt are supported by executed artifacts. The report separates adjusted effects from raw bootstrap intervals, nominal p from FDR q, and exploratory delayed injury from confirmed long-term clinical benefit.</x:v>
      </x:c>
    </x:row>
    <x:row r="95" ht="54" customHeight="1">
      <x:c r="A95" s="40" t="str">
        <x:v>FR-0004</x:v>
      </x:c>
      <x:c r="B95" s="41" t="str">
        <x:v>STELLA</x:v>
      </x:c>
      <x:c r="C95" s="41" t="str">
        <x:v>Clear objective</x:v>
      </x:c>
      <x:c r="D95" t="n" s="64">
        <x:v>1</x:v>
      </x:c>
      <x:c r="E95" s="41" t="str">
        <x:v>Before modeling, requests1/5 define treated POAG, maximal OCR per SD, MD annual-slope contrast and observational interpretation; after reading the dictionary, request5 explicitly corrects OCR from prospective-baseline to retrospective/observation-window association.</x:v>
      </x:c>
    </x:row>
    <x:row r="96" ht="54" customHeight="1">
      <x:c r="A96" s="32" t="str">
        <x:v>FR-0004</x:v>
      </x:c>
      <x:c r="B96" s="33" t="str">
        <x:v>STELLA</x:v>
      </x:c>
      <x:c r="C96" s="33" t="str">
        <x:v>Justified steps</x:v>
      </x:c>
      <x:c r="D96" t="n" s="65">
        <x:v>1</x:v>
      </x:c>
      <x:c r="E96" s="35" t="str">
        <x:v>Actual variable/structure inspection motivates nested patient-eye effects, continuous irregular time, CAR(1), initial-eye-MD and covariate time interactions; alternate OCR components and follow-up-window correlation follow declared scientific and timing questions.</x:v>
      </x:c>
    </x:row>
    <x:row r="97" ht="67.5" customHeight="1">
      <x:c r="A97" s="32" t="str">
        <x:v>FR-0004</x:v>
      </x:c>
      <x:c r="B97" s="33" t="str">
        <x:v>STELLA</x:v>
      </x:c>
      <x:c r="C97" s="33" t="str">
        <x:v>Validity checks</x:v>
      </x:c>
      <x:c r="D97" t="n" s="65">
        <x:v>1</x:v>
      </x:c>
      <x:c r="E97" s="35" t="str">
        <x:v>execution handles patient-eye-visit nesting and irregular time, produces residual diagnostics and cohort follow-up summaries, and computes patient OCR-versus-longest-follow-up correlation. Its uncertain correlation feeds the conclusion that informative observation windows cannot be excluded. No model-failure/fallback warning is recorded, and all models report nested RE plus CAR(1).</x:v>
      </x:c>
    </x:row>
    <x:row r="98" ht="67.5" customHeight="1">
      <x:c r="A98" s="32" t="str">
        <x:v>FR-0004</x:v>
      </x:c>
      <x:c r="B98" s="33" t="str">
        <x:v>STELLA</x:v>
      </x:c>
      <x:c r="C98" s="33" t="str">
        <x:v>Evidence-grounded conclusions</x:v>
      </x:c>
      <x:c r="D98" t="n" s="65">
        <x:v>1</x:v>
      </x:c>
      <x:c r="E98" s="35" t="str">
        <x:v>All93 result-number occurrences in report.md, FINAL_SUBMISSION.md and answer.txt are supported by CSVs or the dynamically computed and printed window diagnostic. The answer distinguishes observed association from future prediction/causality and cautions against interpreting correlated-marker effect sizes as independent mechanisms.</x:v>
      </x:c>
    </x:row>
    <x:row r="99" ht="48" customHeight="1">
      <x:c r="A99" s="40" t="str">
        <x:v>FR-0005</x:v>
      </x:c>
      <x:c r="B99" s="41" t="str">
        <x:v>STELLA</x:v>
      </x:c>
      <x:c r="C99" s="41" t="str">
        <x:v>Clear objective</x:v>
      </x:c>
      <x:c r="D99" t="n" s="64">
        <x:v>0</x:v>
      </x:c>
      <x:c r="E99" s="41" t="str">
        <x:v>No agent-generated Q; the task text and wrapper-created files are not a solver reasoning node.</x:v>
      </x:c>
    </x:row>
    <x:row r="100" ht="48" customHeight="1">
      <x:c r="A100" s="32" t="str">
        <x:v>FR-0005</x:v>
      </x:c>
      <x:c r="B100" s="33" t="str">
        <x:v>STELLA</x:v>
      </x:c>
      <x:c r="C100" s="33" t="str">
        <x:v>Justified steps</x:v>
      </x:c>
      <x:c r="D100" t="n" s="65">
        <x:v>0</x:v>
      </x:c>
      <x:c r="E100" s="35" t="str">
        <x:v>No model-generated scientific D/M sequence is executed.</x:v>
      </x:c>
    </x:row>
    <x:row r="101" ht="48" customHeight="1">
      <x:c r="A101" s="32" t="str">
        <x:v>FR-0005</x:v>
      </x:c>
      <x:c r="B101" s="33" t="str">
        <x:v>STELLA</x:v>
      </x:c>
      <x:c r="C101" s="33" t="str">
        <x:v>Validity checks</x:v>
      </x:c>
      <x:c r="D101" t="n" s="65">
        <x:v>0</x:v>
      </x:c>
      <x:c r="E101" s="35" t="str">
        <x:v>No scientific data or method validity check occurs.</x:v>
      </x:c>
    </x:row>
    <x:row r="102" ht="48" customHeight="1">
      <x:c r="A102" s="32" t="str">
        <x:v>FR-0005</x:v>
      </x:c>
      <x:c r="B102" s="33" t="str">
        <x:v>STELLA</x:v>
      </x:c>
      <x:c r="C102" s="33" t="str">
        <x:v>Evidence-grounded conclusions</x:v>
      </x:c>
      <x:c r="D102" t="n" s="65">
        <x:v>0</x:v>
      </x:c>
      <x:c r="E102" s="35" t="str">
        <x:v>No scientific conclusion, report or numerical result is produced.</x:v>
      </x:c>
    </x:row>
    <x:row r="103" ht="48" customHeight="1">
      <x:c r="A103" s="40" t="str">
        <x:v>FR-0001</x:v>
      </x:c>
      <x:c r="B103" s="41" t="str">
        <x:v>BioMedAgent</x:v>
      </x:c>
      <x:c r="C103" s="41" t="str">
        <x:v>Clear objective</x:v>
      </x:c>
      <x:c r="D103" t="n" s="64">
        <x:v>1</x:v>
      </x:c>
      <x:c r="E103" s="41" t="str">
        <x:v>Before execution, the work record defines complete standard-meal curves, 0-170-minute iAUC, same-person/same-meal repeat correlation and per-SD SSPG/DI associations on the original scale.</x:v>
      </x:c>
    </x:row>
    <x:row r="104" ht="48" customHeight="1">
      <x:c r="A104" s="32" t="str">
        <x:v>FR-0001</x:v>
      </x:c>
      <x:c r="B104" s="33" t="str">
        <x:v>BioMedAgent</x:v>
      </x:c>
      <x:c r="C104" s="33" t="str">
        <x:v>Justified steps</x:v>
      </x:c>
      <x:c r="D104" t="n" s="65">
        <x:v>1</x:v>
      </x:c>
      <x:c r="E104" s="35" t="str">
        <x:v>The observed sampling grid determines the integration window; meal/repeat structure follows the dictionary. Fasting-glucose sensitivity has a stated rationale, and code repairs respond to execution errors.</x:v>
      </x:c>
    </x:row>
    <x:row r="105" ht="54" customHeight="1">
      <x:c r="A105" s="32" t="str">
        <x:v>FR-0001</x:v>
      </x:c>
      <x:c r="B105" s="33" t="str">
        <x:v>BioMedAgent</x:v>
      </x:c>
      <x:c r="C105" s="33" t="str">
        <x:v>Validity checks</x:v>
      </x:c>
      <x:c r="D105" t="n" s="65">
        <x:v>0.5</x:v>
      </x:c>
      <x:c r="E105" s="35" t="str">
        <x:v>Grid completeness, participant structure, participant bootstrap and fasting-glucose sensitivity are executed. The point correlation uses mixed-model meal residuals while the bootstrap uses OLS meal residuals (0.496434 versus 0.494836 on the original data), without reconciling the statistics.</x:v>
      </x:c>
    </x:row>
    <x:row r="106" ht="48" customHeight="1">
      <x:c r="A106" s="32" t="str">
        <x:v>FR-0001</x:v>
      </x:c>
      <x:c r="B106" s="33" t="str">
        <x:v>BioMedAgent</x:v>
      </x:c>
      <x:c r="C106" s="33" t="str">
        <x:v>Evidence-grounded conclusions</x:v>
      </x:c>
      <x:c r="D106" t="n" s="65">
        <x:v>1</x:v>
      </x:c>
      <x:c r="E106" s="35" t="str">
        <x:v>Reported estimates and intervals have executed support. SSPG/DI directions are treated as uncertain, and meal contrasts are not interpreted as single-nutrient causal effects.</x:v>
      </x:c>
    </x:row>
    <x:row r="107" ht="48" customHeight="1">
      <x:c r="A107" s="40" t="str">
        <x:v>FR-0002</x:v>
      </x:c>
      <x:c r="B107" s="41" t="str">
        <x:v>BioMedAgent</x:v>
      </x:c>
      <x:c r="C107" s="41" t="str">
        <x:v>Clear objective</x:v>
      </x:c>
      <x:c r="D107" t="n" s="64">
        <x:v>1</x:v>
      </x:c>
      <x:c r="E107" s="41" t="str">
        <x:v>Before fitting, the work record defines the sequencing subset, assay-specific arm-by-visit contrasts, log ARG mass and Shannon scales, and a complete-pair sensitivity analysis.</x:v>
      </x:c>
    </x:row>
    <x:row r="108" ht="48" customHeight="1">
      <x:c r="A108" s="32" t="str">
        <x:v>FR-0002</x:v>
      </x:c>
      <x:c r="B108" s="33" t="str">
        <x:v>BioMedAgent</x:v>
      </x:c>
      <x:c r="C108" s="33" t="str">
        <x:v>Justified steps</x:v>
      </x:c>
      <x:c r="D108" t="n" s="65">
        <x:v>1</x:v>
      </x:c>
      <x:c r="E108" s="35" t="str">
        <x:v>Zero calls, paired arm counts, total-mass reconstruction and interpretation changes follow inspected data or computed results.</x:v>
      </x:c>
    </x:row>
    <x:row r="109" ht="48" customHeight="1">
      <x:c r="A109" s="32" t="str">
        <x:v>FR-0002</x:v>
      </x:c>
      <x:c r="B109" s="33" t="str">
        <x:v>BioMedAgent</x:v>
      </x:c>
      <x:c r="C109" s="33" t="str">
        <x:v>Validity checks</x:v>
      </x:c>
      <x:c r="D109" t="n" s="65">
        <x:v>1</x:v>
      </x:c>
      <x:c r="E109" s="35" t="str">
        <x:v>Models cluster by participant and separate DNA/RNA. All-observed and complete-pair analyses both execute; RNA offset sensitivity changes the interpretation of effect magnitude.</x:v>
      </x:c>
    </x:row>
    <x:row r="110" ht="48" customHeight="1">
      <x:c r="A110" s="32" t="str">
        <x:v>FR-0002</x:v>
      </x:c>
      <x:c r="B110" s="33" t="str">
        <x:v>BioMedAgent</x:v>
      </x:c>
      <x:c r="C110" s="33" t="str">
        <x:v>Evidence-grounded conclusions</x:v>
      </x:c>
      <x:c r="D110" t="n" s="65">
        <x:v>1</x:v>
      </x:c>
      <x:c r="E110" s="35" t="str">
        <x:v>Point estimates, confidence intervals and P values are supported by the saved outputs. RNA tetracycline interpretation is limited by offset dependence and wide paired intervals.</x:v>
      </x:c>
    </x:row>
    <x:row r="111" ht="48" customHeight="1">
      <x:c r="A111" s="40" t="str">
        <x:v>FR-0003</x:v>
      </x:c>
      <x:c r="B111" s="41" t="str">
        <x:v>BioMedAgent</x:v>
      </x:c>
      <x:c r="C111" s="41" t="str">
        <x:v>Clear objective</x:v>
      </x:c>
      <x:c r="D111" t="n" s="64">
        <x:v>1</x:v>
      </x:c>
      <x:c r="E111" s="41" t="str">
        <x:v>The first work record defines randomized arms, observed biopsies, target visits, score scales and between-arm mean-change contrasts; the missingness audit then limits the analysis population.</x:v>
      </x:c>
    </x:row>
    <x:row r="112" ht="54" customHeight="1">
      <x:c r="A112" s="32" t="str">
        <x:v>FR-0003</x:v>
      </x:c>
      <x:c r="B112" s="33" t="str">
        <x:v>BioMedAgent</x:v>
      </x:c>
      <x:c r="C112" s="33" t="str">
        <x:v>Justified steps</x:v>
      </x:c>
      <x:c r="D112" t="n" s="65">
        <x:v>1</x:v>
      </x:c>
      <x:c r="E112" s="35" t="str">
        <x:v>ABMR score families and within-patient target-visit changes follow the task and dictionary. Baseline/tissue-composition sensitivity and complete-case temporal contrasts respond to observed imbalance and alternative explanations.</x:v>
      </x:c>
    </x:row>
    <x:row r="113" ht="48" customHeight="1">
      <x:c r="A113" s="32" t="str">
        <x:v>FR-0003</x:v>
      </x:c>
      <x:c r="B113" s="33" t="str">
        <x:v>BioMedAgent</x:v>
      </x:c>
      <x:c r="C113" s="33" t="str">
        <x:v>Validity checks</x:v>
      </x:c>
      <x:c r="D113" t="n" s="65">
        <x:v>0.5</x:v>
      </x:c>
      <x:c r="E113" s="35" t="str">
        <x:v>Patient-level changes, visit missingness, baseline/tissue-composition sensitivity and complete-case changes are calculated and inform interpretation. The two-center structure in the dictionary is not examined.</x:v>
      </x:c>
    </x:row>
    <x:row r="114" ht="48" customHeight="1">
      <x:c r="A114" s="32" t="str">
        <x:v>FR-0003</x:v>
      </x:c>
      <x:c r="B114" s="33" t="str">
        <x:v>BioMedAgent</x:v>
      </x:c>
      <x:c r="C114" s="33" t="str">
        <x:v>Evidence-grounded conclusions</x:v>
      </x:c>
      <x:c r="D114" t="n" s="65">
        <x:v>1</x:v>
      </x:c>
      <x:c r="E114" s="35" t="str">
        <x:v>Effects, Welch intervals, BH q values and sample counts are supported by outputs. The report distinguishes observed-biopsy estimates and exploratory endpoints from a full intention-to-treat analysis.</x:v>
      </x:c>
    </x:row>
    <x:row r="115" ht="48" customHeight="1">
      <x:c r="A115" s="40" t="str">
        <x:v>FR-0004</x:v>
      </x:c>
      <x:c r="B115" s="41" t="str">
        <x:v>BioMedAgent</x:v>
      </x:c>
      <x:c r="C115" s="41" t="str">
        <x:v>Clear objective</x:v>
      </x:c>
      <x:c r="D115" t="n" s="64">
        <x:v>1</x:v>
      </x:c>
      <x:c r="E115" s="41" t="str">
        <x:v>Before fitting, the work record defines the cohort, MD outcome, between-patient per-SD OCR comparison and annual MD-slope difference in dB/year.</x:v>
      </x:c>
    </x:row>
    <x:row r="116" ht="48" customHeight="1">
      <x:c r="A116" s="32" t="str">
        <x:v>FR-0004</x:v>
      </x:c>
      <x:c r="B116" s="33" t="str">
        <x:v>BioMedAgent</x:v>
      </x:c>
      <x:c r="C116" s="33" t="str">
        <x:v>Justified steps</x:v>
      </x:c>
      <x:c r="D116" t="n" s="65">
        <x:v>1</x:v>
      </x:c>
      <x:c r="E116" s="35" t="str">
        <x:v>OCR is standardized once per patient; patient-level GEE clustering covers eyes and visits. Actual time and IOP-missingness handling follow the dictionary; quartile contrasts provide an interpretability check.</x:v>
      </x:c>
    </x:row>
    <x:row r="117" ht="54" customHeight="1">
      <x:c r="A117" s="32" t="str">
        <x:v>FR-0004</x:v>
      </x:c>
      <x:c r="B117" s="33" t="str">
        <x:v>BioMedAgent</x:v>
      </x:c>
      <x:c r="C117" s="33" t="str">
        <x:v>Validity checks</x:v>
      </x:c>
      <x:c r="D117" t="n" s="65">
        <x:v>0.5</x:v>
      </x:c>
      <x:c r="E117" s="35" t="str">
        <x:v>Patient clustering, observation-window summaries, missingness and high/low OCR contrasts are executed. Surgery-related truncation is acknowledged without an executed sensitivity analysis; covariate-by-time restrictions are not examined.</x:v>
      </x:c>
    </x:row>
    <x:row r="118" ht="54" customHeight="1">
      <x:c r="A118" s="32" t="str">
        <x:v>FR-0004</x:v>
      </x:c>
      <x:c r="B118" s="33" t="str">
        <x:v>BioMedAgent</x:v>
      </x:c>
      <x:c r="C118" s="33" t="str">
        <x:v>Evidence-grounded conclusions</x:v>
      </x:c>
      <x:c r="D118" t="n" s="65">
        <x:v>1</x:v>
      </x:c>
      <x:c r="E118" s="35" t="str">
        <x:v>Slope differences, intervals, q values, SDs, quartiles and observation-window summaries are supported by outputs. Conclusions remain conditional associations; intervals crossing zero are not interpreted as proof of no association.</x:v>
      </x:c>
    </x:row>
    <x:row r="119" ht="48" customHeight="1">
      <x:c r="A119" s="40" t="str">
        <x:v>FR-0005</x:v>
      </x:c>
      <x:c r="B119" s="41" t="str">
        <x:v>BioMedAgent</x:v>
      </x:c>
      <x:c r="C119" s="41" t="str">
        <x:v>Clear objective</x:v>
      </x:c>
      <x:c r="D119" t="n" s="64">
        <x:v>1</x:v>
      </x:c>
      <x:c r="E119" s="41" t="str">
        <x:v>Before fitting, the work record defines mother-infant geometric means and paired changes, recurrent-event IRRs per IgG doubling, subsequent at-risk time, age/sex adjustment and household clustering.</x:v>
      </x:c>
    </x:row>
    <x:row r="120" ht="48" customHeight="1">
      <x:c r="A120" s="32" t="str">
        <x:v>FR-0005</x:v>
      </x:c>
      <x:c r="B120" s="33" t="str">
        <x:v>BioMedAgent</x:v>
      </x:c>
      <x:c r="C120" s="33" t="str">
        <x:v>Justified steps</x:v>
      </x:c>
      <x:c r="D120" t="n" s="65">
        <x:v>1</x:v>
      </x:c>
      <x:c r="E120" s="35" t="str">
        <x:v>Sample/event duplicates and observation periods are inspected before constructing at-risk intervals split at actual antibody measurement dates.</x:v>
      </x:c>
    </x:row>
    <x:row r="121" ht="48" customHeight="1">
      <x:c r="A121" s="32" t="str">
        <x:v>FR-0005</x:v>
      </x:c>
      <x:c r="B121" s="33" t="str">
        <x:v>BioMedAgent</x:v>
      </x:c>
      <x:c r="C121" s="33" t="str">
        <x:v>Validity checks</x:v>
      </x:c>
      <x:c r="D121" t="n" s="65">
        <x:v>0.5</x:v>
      </x:c>
      <x:c r="E121" s="35" t="str">
        <x:v>Mother-infant completeness, event duplicates/missingness, risk intervals and counts are computed. All Poisson fits fail on import, so household dependence and the handling of missing event statuses are not validated.</x:v>
      </x:c>
    </x:row>
    <x:row r="122" ht="48" customHeight="1">
      <x:c r="A122" s="36" t="str">
        <x:v>FR-0005</x:v>
      </x:c>
      <x:c r="B122" s="37" t="str">
        <x:v>BioMedAgent</x:v>
      </x:c>
      <x:c r="C122" s="37" t="str">
        <x:v>Evidence-grounded conclusions</x:v>
      </x:c>
      <x:c r="D122" t="n" s="66">
        <x:v>0</x:v>
      </x:c>
      <x:c r="E122" s="39" t="str">
        <x:v>No scientific report, successful association estimate or uncertainty result is produced; preprocessing counts do not supply the main conclusion.</x:v>
      </x:c>
    </x:row>
  </x:sheetData>
  <x:mergeCells>
    <x:mergeCell ref="A1:E1"/>
  </x:mergeCells>
  <x:pageMargins left="0.7" right="0.7" top="0.75" bottom="0.75" header="0.3" footer="0.3"/>
  <x:tableParts count="1">
    <x:tablePart xmlns:r="http://schemas.openxmlformats.org/officeDocument/2006/relationships" r:id="R8723a45193754734"/>
  </x:tableParts>
</x:worksheet>
</file>

<file path=xl/worksheets/sheet3.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12.220000267028809" hidden="0" customWidth="1"/>
    <x:col min="2" max="2" width="16.670000076293945" hidden="0" customWidth="1"/>
    <x:col min="3" max="3" width="9.779999732971191" hidden="0" customWidth="1"/>
    <x:col min="4" max="4" width="42.220001220703125" hidden="0" customWidth="1"/>
    <x:col min="5" max="5" width="12.890000343322754" hidden="0" customWidth="1"/>
    <x:col min="6" max="6" width="25" hidden="0" customWidth="1"/>
    <x:col min="7" max="7" width="12.779999732971191" hidden="0" customWidth="1"/>
    <x:col min="8" max="8" width="28.329999923706055" hidden="0" customWidth="1"/>
    <x:col min="9" max="9" width="25.559999465942383" hidden="0" customWidth="1"/>
    <x:col min="10" max="10" width="9.220000267028809" hidden="0" customWidth="1"/>
    <x:col min="11" max="11" width="10.5600004196167" hidden="0" customWidth="1"/>
    <x:col min="12" max="12" width="12.670000076293945" hidden="0" customWidth="1"/>
    <x:col min="13" max="13" width="19.110000610351562" hidden="0" customWidth="1"/>
    <x:col min="14" max="14" width="67.77999877929688" hidden="0" customWidth="1"/>
  </x:cols>
  <x:sheetData>
    <x:row r="1" ht="36" customHeight="1">
      <x:c r="A1" s="6" t="str">
        <x:v>Table S8. F2 Reproducing: reference anchors, agent results and weighted scores.</x:v>
      </x:c>
      <x:c r="B1" s="6"/>
      <x:c r="C1" s="6"/>
      <x:c r="D1" s="6"/>
      <x:c r="E1" s="6"/>
      <x:c r="F1" s="6"/>
      <x:c r="G1" s="6"/>
      <x:c r="H1" s="6"/>
      <x:c r="I1" s="6"/>
      <x:c r="J1" s="6"/>
      <x:c r="K1" s="6"/>
      <x:c r="L1" s="6"/>
      <x:c r="M1" s="6"/>
      <x:c r="N1" s="6"/>
    </x:row>
    <x:row r="2" ht="40.5" customHeight="1">
      <x:c r="A2" s="13" t="str">
        <x:v>Task ID</x:v>
      </x:c>
      <x:c r="B2" s="14" t="str">
        <x:v>Agent</x:v>
      </x:c>
      <x:c r="C2" s="14" t="str">
        <x:v>Anchor ID</x:v>
      </x:c>
      <x:c r="D2" s="14" t="str">
        <x:v>Reference estimand</x:v>
      </x:c>
      <x:c r="E2" s="14" t="str">
        <x:v>Reference value</x:v>
      </x:c>
      <x:c r="F2" s="14" t="str">
        <x:v>Reference 95% CI</x:v>
      </x:c>
      <x:c r="G2" s="14" t="str">
        <x:v>Tolerance</x:v>
      </x:c>
      <x:c r="H2" s="14" t="str">
        <x:v>Agent result</x:v>
      </x:c>
      <x:c r="I2" s="14" t="str">
        <x:v>Agent 95% CI</x:v>
      </x:c>
      <x:c r="J2" s="14" t="str">
        <x:v>Weight</x:v>
      </x:c>
      <x:c r="K2" s="14" t="str">
        <x:v>Item score (0–1)</x:v>
      </x:c>
      <x:c r="L2" s="14" t="str">
        <x:v>Weighted score</x:v>
      </x:c>
      <x:c r="M2" s="14" t="str">
        <x:v>Comparability</x:v>
      </x:c>
      <x:c r="N2" s="15" t="str">
        <x:v>Verification</x:v>
      </x:c>
    </x:row>
    <x:row r="3" ht="48" customHeight="1">
      <x:c r="A3" s="40" t="str">
        <x:v>FR-0001</x:v>
      </x:c>
      <x:c r="B3" s="41" t="str">
        <x:v>AutoBA</x:v>
      </x:c>
      <x:c r="C3" s="41" t="str">
        <x:v>A01</x:v>
      </x:c>
      <x:c r="D3" s="41" t="str">
        <x:v>Unique participants with CGM data in the public subset</x:v>
      </x:c>
      <x:c r="E3" s="54" t="n">
        <x:v>38</x:v>
      </x:c>
      <x:c r="F3" s="55" t="str">
        <x:v>Not specified</x:v>
      </x:c>
      <x:c r="G3" s="55" t="str">
        <x:v>Exact count</x:v>
      </x:c>
      <x:c r="H3" s="55" t="str">
        <x:v>No corresponding executed estimate</x:v>
      </x:c>
      <x:c r="I3" s="55" t="str">
        <x:v>Not reported</x:v>
      </x:c>
      <x:c r="J3" s="54" t="n">
        <x:v>1</x:v>
      </x:c>
      <x:c r="K3" s="56" t="n">
        <x:v>0</x:v>
      </x:c>
      <x:c r="L3" s="56" t="n">
        <x:f>J3*K3</x:f>
        <x:v>0</x:v>
      </x:c>
      <x:c r="M3" s="41" t="str">
        <x:v>Not answered</x:v>
      </x:c>
      <x:c r="N3" s="41" t="str">
        <x:v>No executed corresponding scientific estimate.</x:v>
      </x:c>
    </x:row>
    <x:row r="4" ht="48" customHeight="1">
      <x:c r="A4" s="32" t="str">
        <x:v>FR-0001</x:v>
      </x:c>
      <x:c r="B4" s="33" t="str">
        <x:v>AutoBA</x:v>
      </x:c>
      <x:c r="C4" s="33" t="str">
        <x:v>A02</x:v>
      </x:c>
      <x:c r="D4" s="33" t="str">
        <x:v>Glucose-response curves for the seven unmitigated standard meals</x:v>
      </x:c>
      <x:c r="E4" s="57" t="n">
        <x:v>393</x:v>
      </x:c>
      <x:c r="F4" s="58" t="str">
        <x:v>Not specified</x:v>
      </x:c>
      <x:c r="G4" s="58" t="str">
        <x:v>Exact count</x:v>
      </x:c>
      <x:c r="H4" s="58" t="str">
        <x:v>No corresponding executed estimate</x:v>
      </x:c>
      <x:c r="I4" s="58" t="str">
        <x:v>Not reported</x:v>
      </x:c>
      <x:c r="J4" s="57" t="n">
        <x:v>1</x:v>
      </x:c>
      <x:c r="K4" s="34" t="n">
        <x:v>0</x:v>
      </x:c>
      <x:c r="L4" s="34" t="n">
        <x:f>J4*K4</x:f>
        <x:v>0</x:v>
      </x:c>
      <x:c r="M4" s="33" t="str">
        <x:v>Not answered</x:v>
      </x:c>
      <x:c r="N4" s="35" t="str">
        <x:v>No executed corresponding scientific estimate.</x:v>
      </x:c>
    </x:row>
    <x:row r="5" ht="48" customHeight="1">
      <x:c r="A5" s="32" t="str">
        <x:v>FR-0001</x:v>
      </x:c>
      <x:c r="B5" s="33" t="str">
        <x:v>AutoBA</x:v>
      </x:c>
      <x:c r="C5" s="33" t="str">
        <x:v>A03</x:v>
      </x:c>
      <x:c r="D5" s="33" t="str">
        <x:v>Potatoes: Pearson correlation of first versus second peak glucose increment; paired participants, n=21</x:v>
      </x:c>
      <x:c r="E5" s="59" t="n">
        <x:v>0.6909911814</x:v>
      </x:c>
      <x:c r="F5" s="58" t="str">
        <x:v>[0.369533, 0.864735]</x:v>
      </x:c>
      <x:c r="G5" s="59" t="n">
        <x:v>0.4952016496</x:v>
      </x:c>
      <x:c r="H5" s="58" t="str">
        <x:v>No corresponding executed estimate</x:v>
      </x:c>
      <x:c r="I5" s="58" t="str">
        <x:v>Not reported</x:v>
      </x:c>
      <x:c r="J5" s="57" t="n">
        <x:v>1</x:v>
      </x:c>
      <x:c r="K5" s="34" t="n">
        <x:v>0</x:v>
      </x:c>
      <x:c r="L5" s="34" t="n">
        <x:f>J5*K5</x:f>
        <x:v>0</x:v>
      </x:c>
      <x:c r="M5" s="33" t="str">
        <x:v>Not answered</x:v>
      </x:c>
      <x:c r="N5" s="35" t="str">
        <x:v>No executed corresponding scientific estimate.</x:v>
      </x:c>
    </x:row>
    <x:row r="6" ht="48" customHeight="1">
      <x:c r="A6" s="32" t="str">
        <x:v>FR-0001</x:v>
      </x:c>
      <x:c r="B6" s="33" t="str">
        <x:v>AutoBA</x:v>
      </x:c>
      <x:c r="C6" s="33" t="str">
        <x:v>A04</x:v>
      </x:c>
      <x:c r="D6" s="33" t="str">
        <x:v>Within-participant Rice minus Beans mean peak glucose increment (mg/dL); 21 pairs</x:v>
      </x:c>
      <x:c r="E6" s="59" t="n">
        <x:v>39.2518017663</x:v>
      </x:c>
      <x:c r="F6" s="58" t="str">
        <x:v>[30.6632, 47.8404]</x:v>
      </x:c>
      <x:c r="G6" s="59" t="n">
        <x:v>17.1772122957</x:v>
      </x:c>
      <x:c r="H6" s="58" t="str">
        <x:v>No corresponding executed estimate</x:v>
      </x:c>
      <x:c r="I6" s="58" t="str">
        <x:v>Not reported</x:v>
      </x:c>
      <x:c r="J6" s="57" t="n">
        <x:v>1</x:v>
      </x:c>
      <x:c r="K6" s="34" t="n">
        <x:v>0</x:v>
      </x:c>
      <x:c r="L6" s="34" t="n">
        <x:f>J6*K6</x:f>
        <x:v>0</x:v>
      </x:c>
      <x:c r="M6" s="33" t="str">
        <x:v>Not answered</x:v>
      </x:c>
      <x:c r="N6" s="35" t="str">
        <x:v>No executed corresponding scientific estimate.</x:v>
      </x:c>
    </x:row>
    <x:row r="7" ht="54" customHeight="1">
      <x:c r="A7" s="32" t="str">
        <x:v>FR-0001</x:v>
      </x:c>
      <x:c r="B7" s="33" t="str">
        <x:v>AutoBA</x:v>
      </x:c>
      <x:c r="C7" s="33" t="str">
        <x:v>A05</x:v>
      </x:c>
      <x:c r="D7" s="33" t="str">
        <x:v>Potatoes: participant-mean peak increment, insulin-resistant minus insulin-sensitive (mg/dL); SSPG groups, n=14 versus 17</x:v>
      </x:c>
      <x:c r="E7" s="59" t="n">
        <x:v>22.9003192008</x:v>
      </x:c>
      <x:c r="F7" s="58" t="str">
        <x:v>[4.76207, 41.0386]</x:v>
      </x:c>
      <x:c r="G7" s="59" t="n">
        <x:v>36.2764959992</x:v>
      </x:c>
      <x:c r="H7" s="58" t="str">
        <x:v>No corresponding executed estimate</x:v>
      </x:c>
      <x:c r="I7" s="58" t="str">
        <x:v>Not reported</x:v>
      </x:c>
      <x:c r="J7" s="57" t="n">
        <x:v>2</x:v>
      </x:c>
      <x:c r="K7" s="34" t="n">
        <x:v>0</x:v>
      </x:c>
      <x:c r="L7" s="34" t="n">
        <x:f>J7*K7</x:f>
        <x:v>0</x:v>
      </x:c>
      <x:c r="M7" s="33" t="str">
        <x:v>Not answered</x:v>
      </x:c>
      <x:c r="N7" s="35" t="str">
        <x:v>No executed corresponding scientific estimate.</x:v>
      </x:c>
    </x:row>
    <x:row r="8" ht="54" customHeight="1">
      <x:c r="A8" s="32" t="str">
        <x:v>FR-0001</x:v>
      </x:c>
      <x:c r="B8" s="33" t="str">
        <x:v>AutoBA</x:v>
      </x:c>
      <x:c r="C8" s="33" t="str">
        <x:v>A06</x:v>
      </x:c>
      <x:c r="D8" s="33" t="str">
        <x:v>Potatoes: OLS coefficient of insulin resistance for peak increment (mg/dL), adjusted for BMI, age and sex; n=29</x:v>
      </x:c>
      <x:c r="E8" s="59" t="n">
        <x:v>38.9480203973</x:v>
      </x:c>
      <x:c r="F8" s="58" t="str">
        <x:v>[17.4817, 60.4144]</x:v>
      </x:c>
      <x:c r="G8" s="59" t="n">
        <x:v>42.93273471</x:v>
      </x:c>
      <x:c r="H8" s="58" t="str">
        <x:v>No corresponding executed estimate</x:v>
      </x:c>
      <x:c r="I8" s="58" t="str">
        <x:v>Not reported</x:v>
      </x:c>
      <x:c r="J8" s="57" t="n">
        <x:v>2</x:v>
      </x:c>
      <x:c r="K8" s="34" t="n">
        <x:v>0</x:v>
      </x:c>
      <x:c r="L8" s="34" t="n">
        <x:f>J8*K8</x:f>
        <x:v>0</x:v>
      </x:c>
      <x:c r="M8" s="33" t="str">
        <x:v>Not answered</x:v>
      </x:c>
      <x:c r="N8" s="35" t="str">
        <x:v>No executed corresponding scientific estimate.</x:v>
      </x:c>
    </x:row>
    <x:row r="9" ht="54" customHeight="1">
      <x:c r="A9" s="32" t="str">
        <x:v>FR-0001</x:v>
      </x:c>
      <x:c r="B9" s="33" t="str">
        <x:v>AutoBA</x:v>
      </x:c>
      <x:c r="C9" s="33" t="str">
        <x:v>A07</x:v>
      </x:c>
      <x:c r="D9" s="33" t="str">
        <x:v>Pasta: participant-mean peak increment, insulin-resistant minus insulin-sensitive (mg/dL); n=13 versus 9</x:v>
      </x:c>
      <x:c r="E9" s="59" t="n">
        <x:v>19.7260427339</x:v>
      </x:c>
      <x:c r="F9" s="58" t="str">
        <x:v>[-0.461107, 39.9132]</x:v>
      </x:c>
      <x:c r="G9" s="59" t="n">
        <x:v>40.3742991893</x:v>
      </x:c>
      <x:c r="H9" s="58" t="str">
        <x:v>No corresponding executed estimate</x:v>
      </x:c>
      <x:c r="I9" s="58" t="str">
        <x:v>Not reported</x:v>
      </x:c>
      <x:c r="J9" s="57" t="n">
        <x:v>1</x:v>
      </x:c>
      <x:c r="K9" s="34" t="n">
        <x:v>0</x:v>
      </x:c>
      <x:c r="L9" s="34" t="n">
        <x:f>J9*K9</x:f>
        <x:v>0</x:v>
      </x:c>
      <x:c r="M9" s="33" t="str">
        <x:v>Not answered</x:v>
      </x:c>
      <x:c r="N9" s="35" t="str">
        <x:v>No executed corresponding scientific estimate.</x:v>
      </x:c>
    </x:row>
    <x:row r="10" ht="54" customHeight="1">
      <x:c r="A10" s="32" t="str">
        <x:v>FR-0001</x:v>
      </x:c>
      <x:c r="B10" s="33" t="str">
        <x:v>AutoBA</x:v>
      </x:c>
      <x:c r="C10" s="33" t="str">
        <x:v>A08</x:v>
      </x:c>
      <x:c r="D10" s="33" t="str">
        <x:v>Potatoes: participant-mean peak increment, dysfunctional minus normal beta-cell function (mg/dL); DI groups, n=11 versus 8</x:v>
      </x:c>
      <x:c r="E10" s="59" t="n">
        <x:v>26.7850824792</x:v>
      </x:c>
      <x:c r="F10" s="58" t="str">
        <x:v>[5.73288, 47.8373]</x:v>
      </x:c>
      <x:c r="G10" s="59" t="n">
        <x:v>42.1044051555</x:v>
      </x:c>
      <x:c r="H10" s="58" t="str">
        <x:v>No corresponding executed estimate</x:v>
      </x:c>
      <x:c r="I10" s="58" t="str">
        <x:v>Not reported</x:v>
      </x:c>
      <x:c r="J10" s="57" t="n">
        <x:v>2</x:v>
      </x:c>
      <x:c r="K10" s="34" t="n">
        <x:v>0</x:v>
      </x:c>
      <x:c r="L10" s="34" t="n">
        <x:f>J10*K10</x:f>
        <x:v>0</x:v>
      </x:c>
      <x:c r="M10" s="33" t="str">
        <x:v>Not answered</x:v>
      </x:c>
      <x:c r="N10" s="35" t="str">
        <x:v>No executed corresponding scientific estimate.</x:v>
      </x:c>
    </x:row>
    <x:row r="11" ht="48" customHeight="1">
      <x:c r="A11" s="32" t="str">
        <x:v>FR-0001</x:v>
      </x:c>
      <x:c r="B11" s="33" t="str">
        <x:v>AutoBA</x:v>
      </x:c>
      <x:c r="C11" s="33" t="str">
        <x:v>A09</x:v>
      </x:c>
      <x:c r="D11" s="33" t="str">
        <x:v>Spearman correlation between participant-level Potatoes/Grapes peak-increment ratio and SSPG; n=31</x:v>
      </x:c>
      <x:c r="E11" s="59" t="n">
        <x:v>0.6728500891</x:v>
      </x:c>
      <x:c r="F11" s="58" t="str">
        <x:v>[0.40884, 0.802562]</x:v>
      </x:c>
      <x:c r="G11" s="59" t="n">
        <x:v>0.3937219199</x:v>
      </x:c>
      <x:c r="H11" s="58" t="str">
        <x:v>No corresponding executed estimate</x:v>
      </x:c>
      <x:c r="I11" s="58" t="str">
        <x:v>Not reported</x:v>
      </x:c>
      <x:c r="J11" s="57" t="n">
        <x:v>2</x:v>
      </x:c>
      <x:c r="K11" s="34" t="n">
        <x:v>0</x:v>
      </x:c>
      <x:c r="L11" s="34" t="n">
        <x:f>J11*K11</x:f>
        <x:v>0</x:v>
      </x:c>
      <x:c r="M11" s="33" t="str">
        <x:v>Not answered</x:v>
      </x:c>
      <x:c r="N11" s="35" t="str">
        <x:v>No executed corresponding scientific estimate.</x:v>
      </x:c>
    </x:row>
    <x:row r="12" ht="48" customHeight="1">
      <x:c r="A12" s="40" t="str">
        <x:v>FR-0002</x:v>
      </x:c>
      <x:c r="B12" s="41" t="str">
        <x:v>AutoBA</x:v>
      </x:c>
      <x:c r="C12" s="41" t="str">
        <x:v>A1</x:v>
      </x:c>
      <x:c r="D12" s="41" t="str">
        <x:v>Participants with analyzable DNA sequencing</x:v>
      </x:c>
      <x:c r="E12" s="54" t="n">
        <x:v>89</x:v>
      </x:c>
      <x:c r="F12" s="55" t="str">
        <x:v>Not specified</x:v>
      </x:c>
      <x:c r="G12" s="54" t="n">
        <x:v>0</x:v>
      </x:c>
      <x:c r="H12" s="55" t="str">
        <x:v>No corresponding executed estimate</x:v>
      </x:c>
      <x:c r="I12" s="55" t="str">
        <x:v>Not reported</x:v>
      </x:c>
      <x:c r="J12" s="54" t="n">
        <x:v>1</x:v>
      </x:c>
      <x:c r="K12" s="56" t="n">
        <x:v>0</x:v>
      </x:c>
      <x:c r="L12" s="56" t="n">
        <x:f>J12*K12</x:f>
        <x:v>0</x:v>
      </x:c>
      <x:c r="M12" s="41" t="str">
        <x:v>Not answered</x:v>
      </x:c>
      <x:c r="N12" s="41" t="str">
        <x:v>Only repeated truncated plans are returned; no scientific command, data audit or result executes.</x:v>
      </x:c>
    </x:row>
    <x:row r="13" ht="48" customHeight="1">
      <x:c r="A13" s="32" t="str">
        <x:v>FR-0002</x:v>
      </x:c>
      <x:c r="B13" s="33" t="str">
        <x:v>AutoBA</x:v>
      </x:c>
      <x:c r="C13" s="33" t="str">
        <x:v>A2</x:v>
      </x:c>
      <x:c r="D13" s="33" t="str">
        <x:v>DNA sequencing samples across both study arms and visits</x:v>
      </x:c>
      <x:c r="E13" s="57" t="n">
        <x:v>127</x:v>
      </x:c>
      <x:c r="F13" s="58" t="str">
        <x:v>Not specified</x:v>
      </x:c>
      <x:c r="G13" s="57" t="n">
        <x:v>0</x:v>
      </x:c>
      <x:c r="H13" s="58" t="str">
        <x:v>No corresponding executed estimate</x:v>
      </x:c>
      <x:c r="I13" s="58" t="str">
        <x:v>Not reported</x:v>
      </x:c>
      <x:c r="J13" s="57" t="n">
        <x:v>1</x:v>
      </x:c>
      <x:c r="K13" s="34" t="n">
        <x:v>0</x:v>
      </x:c>
      <x:c r="L13" s="34" t="n">
        <x:f>J13*K13</x:f>
        <x:v>0</x:v>
      </x:c>
      <x:c r="M13" s="33" t="str">
        <x:v>Not answered</x:v>
      </x:c>
      <x:c r="N13" s="35" t="str">
        <x:v>Only repeated truncated plans are returned; no scientific command, data audit or result executes.</x:v>
      </x:c>
    </x:row>
    <x:row r="14" ht="48" customHeight="1">
      <x:c r="A14" s="32" t="str">
        <x:v>FR-0002</x:v>
      </x:c>
      <x:c r="B14" s="33" t="str">
        <x:v>AutoBA</x:v>
      </x:c>
      <x:c r="C14" s="33" t="str">
        <x:v>A3</x:v>
      </x:c>
      <x:c r="D14" s="33" t="str">
        <x:v>Participants with analyzable RNA sequencing</x:v>
      </x:c>
      <x:c r="E14" s="57" t="n">
        <x:v>70</x:v>
      </x:c>
      <x:c r="F14" s="58" t="str">
        <x:v>Not specified</x:v>
      </x:c>
      <x:c r="G14" s="57" t="n">
        <x:v>0</x:v>
      </x:c>
      <x:c r="H14" s="58" t="str">
        <x:v>No corresponding executed estimate</x:v>
      </x:c>
      <x:c r="I14" s="58" t="str">
        <x:v>Not reported</x:v>
      </x:c>
      <x:c r="J14" s="57" t="n">
        <x:v>1</x:v>
      </x:c>
      <x:c r="K14" s="34" t="n">
        <x:v>0</x:v>
      </x:c>
      <x:c r="L14" s="34" t="n">
        <x:f>J14*K14</x:f>
        <x:v>0</x:v>
      </x:c>
      <x:c r="M14" s="33" t="str">
        <x:v>Not answered</x:v>
      </x:c>
      <x:c r="N14" s="35" t="str">
        <x:v>Only repeated truncated plans are returned; no scientific command, data audit or result executes.</x:v>
      </x:c>
    </x:row>
    <x:row r="15" ht="48" customHeight="1">
      <x:c r="A15" s="32" t="str">
        <x:v>FR-0002</x:v>
      </x:c>
      <x:c r="B15" s="33" t="str">
        <x:v>AutoBA</x:v>
      </x:c>
      <x:c r="C15" s="33" t="str">
        <x:v>A4</x:v>
      </x:c>
      <x:c r="D15" s="33" t="str">
        <x:v>RNA sequencing samples across both study arms and visits</x:v>
      </x:c>
      <x:c r="E15" s="57" t="n">
        <x:v>86</x:v>
      </x:c>
      <x:c r="F15" s="58" t="str">
        <x:v>Not specified</x:v>
      </x:c>
      <x:c r="G15" s="57" t="n">
        <x:v>0</x:v>
      </x:c>
      <x:c r="H15" s="58" t="str">
        <x:v>No corresponding executed estimate</x:v>
      </x:c>
      <x:c r="I15" s="58" t="str">
        <x:v>Not reported</x:v>
      </x:c>
      <x:c r="J15" s="57" t="n">
        <x:v>1</x:v>
      </x:c>
      <x:c r="K15" s="34" t="n">
        <x:v>0</x:v>
      </x:c>
      <x:c r="L15" s="34" t="n">
        <x:f>J15*K15</x:f>
        <x:v>0</x:v>
      </x:c>
      <x:c r="M15" s="33" t="str">
        <x:v>Not answered</x:v>
      </x:c>
      <x:c r="N15" s="35" t="str">
        <x:v>Only repeated truncated plans are returned; no scientific command, data audit or result executes.</x:v>
      </x:c>
    </x:row>
    <x:row r="16" ht="48" customHeight="1">
      <x:c r="A16" s="32" t="str">
        <x:v>FR-0002</x:v>
      </x:c>
      <x:c r="B16" s="33" t="str">
        <x:v>AutoBA</x:v>
      </x:c>
      <x:c r="C16" s="33" t="str">
        <x:v>A5</x:v>
      </x:c>
      <x:c r="D16" s="33" t="str">
        <x:v>Distinct tetracycline ARGs detected across all day-0 DNA samples</x:v>
      </x:c>
      <x:c r="E16" s="57" t="n">
        <x:v>41</x:v>
      </x:c>
      <x:c r="F16" s="58" t="str">
        <x:v>Not specified</x:v>
      </x:c>
      <x:c r="G16" s="57" t="n">
        <x:v>5</x:v>
      </x:c>
      <x:c r="H16" s="58" t="str">
        <x:v>No corresponding executed estimate</x:v>
      </x:c>
      <x:c r="I16" s="58" t="str">
        <x:v>Not reported</x:v>
      </x:c>
      <x:c r="J16" s="57" t="n">
        <x:v>1</x:v>
      </x:c>
      <x:c r="K16" s="34" t="n">
        <x:v>0</x:v>
      </x:c>
      <x:c r="L16" s="34" t="n">
        <x:f>J16*K16</x:f>
        <x:v>0</x:v>
      </x:c>
      <x:c r="M16" s="33" t="str">
        <x:v>Not answered</x:v>
      </x:c>
      <x:c r="N16" s="35" t="str">
        <x:v>Only repeated truncated plans are returned; no scientific command, data audit or result executes.</x:v>
      </x:c>
    </x:row>
    <x:row r="17" ht="48" customHeight="1">
      <x:c r="A17" s="32" t="str">
        <x:v>FR-0002</x:v>
      </x:c>
      <x:c r="B17" s="33" t="str">
        <x:v>AutoBA</x:v>
      </x:c>
      <x:c r="C17" s="33" t="str">
        <x:v>A6</x:v>
      </x:c>
      <x:c r="D17" s="33" t="str">
        <x:v>Distinct tetracycline ARGs detected across all day-0 RNA samples</x:v>
      </x:c>
      <x:c r="E17" s="57" t="n">
        <x:v>17</x:v>
      </x:c>
      <x:c r="F17" s="58" t="str">
        <x:v>Not specified</x:v>
      </x:c>
      <x:c r="G17" s="57" t="n">
        <x:v>4</x:v>
      </x:c>
      <x:c r="H17" s="58" t="str">
        <x:v>No corresponding executed estimate</x:v>
      </x:c>
      <x:c r="I17" s="58" t="str">
        <x:v>Not reported</x:v>
      </x:c>
      <x:c r="J17" s="57" t="n">
        <x:v>1</x:v>
      </x:c>
      <x:c r="K17" s="34" t="n">
        <x:v>0</x:v>
      </x:c>
      <x:c r="L17" s="34" t="n">
        <x:f>J17*K17</x:f>
        <x:v>0</x:v>
      </x:c>
      <x:c r="M17" s="33" t="str">
        <x:v>Not answered</x:v>
      </x:c>
      <x:c r="N17" s="35" t="str">
        <x:v>Only repeated truncated plans are returned; no scientific command, data audit or result executes.</x:v>
      </x:c>
    </x:row>
    <x:row r="18" ht="48" customHeight="1">
      <x:c r="A18" s="32" t="str">
        <x:v>FR-0002</x:v>
      </x:c>
      <x:c r="B18" s="33" t="str">
        <x:v>AutoBA</x:v>
      </x:c>
      <x:c r="C18" s="33" t="str">
        <x:v>A7</x:v>
      </x:c>
      <x:c r="D18" s="33" t="str">
        <x:v>Day-0 DNA samples with at least one tetracycline ARG; proportion, 58/58</x:v>
      </x:c>
      <x:c r="E18" s="57" t="n">
        <x:v>1</x:v>
      </x:c>
      <x:c r="F18" s="58" t="str">
        <x:v>Not specified</x:v>
      </x:c>
      <x:c r="G18" s="59" t="n">
        <x:v>0.05</x:v>
      </x:c>
      <x:c r="H18" s="58" t="str">
        <x:v>No corresponding executed estimate</x:v>
      </x:c>
      <x:c r="I18" s="58" t="str">
        <x:v>Not reported</x:v>
      </x:c>
      <x:c r="J18" s="57" t="n">
        <x:v>1</x:v>
      </x:c>
      <x:c r="K18" s="34" t="n">
        <x:v>0</x:v>
      </x:c>
      <x:c r="L18" s="34" t="n">
        <x:f>J18*K18</x:f>
        <x:v>0</x:v>
      </x:c>
      <x:c r="M18" s="33" t="str">
        <x:v>Not answered</x:v>
      </x:c>
      <x:c r="N18" s="35" t="str">
        <x:v>Only repeated truncated plans are returned; no scientific command, data audit or result executes.</x:v>
      </x:c>
    </x:row>
    <x:row r="19" ht="48" customHeight="1">
      <x:c r="A19" s="32" t="str">
        <x:v>FR-0002</x:v>
      </x:c>
      <x:c r="B19" s="33" t="str">
        <x:v>AutoBA</x:v>
      </x:c>
      <x:c r="C19" s="33" t="str">
        <x:v>A8</x:v>
      </x:c>
      <x:c r="D19" s="33" t="str">
        <x:v>Day-0 RNA samples with at least one tetracycline ARG; proportion, 22/26</x:v>
      </x:c>
      <x:c r="E19" s="59" t="n">
        <x:v>0.85</x:v>
      </x:c>
      <x:c r="F19" s="58" t="str">
        <x:v>Not specified</x:v>
      </x:c>
      <x:c r="G19" s="59" t="n">
        <x:v>0.1</x:v>
      </x:c>
      <x:c r="H19" s="58" t="str">
        <x:v>No corresponding executed estimate</x:v>
      </x:c>
      <x:c r="I19" s="58" t="str">
        <x:v>Not reported</x:v>
      </x:c>
      <x:c r="J19" s="57" t="n">
        <x:v>1</x:v>
      </x:c>
      <x:c r="K19" s="34" t="n">
        <x:v>0</x:v>
      </x:c>
      <x:c r="L19" s="34" t="n">
        <x:f>J19*K19</x:f>
        <x:v>0</x:v>
      </x:c>
      <x:c r="M19" s="33" t="str">
        <x:v>Not answered</x:v>
      </x:c>
      <x:c r="N19" s="35" t="str">
        <x:v>Only repeated truncated plans are returned; no scientific command, data audit or result executes.</x:v>
      </x:c>
    </x:row>
    <x:row r="20" ht="67.5" customHeight="1">
      <x:c r="A20" s="32" t="str">
        <x:v>FR-0002</x:v>
      </x:c>
      <x:c r="B20" s="33" t="str">
        <x:v>AutoBA</x:v>
      </x:c>
      <x:c r="C20" s="33" t="str">
        <x:v>A9</x:v>
      </x:c>
      <x:c r="D20" s="33" t="str">
        <x:v>Within doxy-PEP: month 6 versus day 0 coefficient for DNA tetracycline ARG mass proportion; zero/one-inflated beta model, logit mu, adjusted for HIV and cephalosporin days</x:v>
      </x:c>
      <x:c r="E20" s="59" t="n">
        <x:v>0.45</x:v>
      </x:c>
      <x:c r="F20" s="58" t="str">
        <x:v>[0.19, 0.7]</x:v>
      </x:c>
      <x:c r="G20" s="59" t="n">
        <x:v>0.51</x:v>
      </x:c>
      <x:c r="H20" s="58" t="str">
        <x:v>No corresponding executed estimate</x:v>
      </x:c>
      <x:c r="I20" s="58" t="str">
        <x:v>Not reported</x:v>
      </x:c>
      <x:c r="J20" s="57" t="n">
        <x:v>2</x:v>
      </x:c>
      <x:c r="K20" s="34" t="n">
        <x:v>0</x:v>
      </x:c>
      <x:c r="L20" s="34" t="n">
        <x:f>J20*K20</x:f>
        <x:v>0</x:v>
      </x:c>
      <x:c r="M20" s="33" t="str">
        <x:v>Not answered</x:v>
      </x:c>
      <x:c r="N20" s="35" t="str">
        <x:v>Only repeated truncated plans are returned; no scientific command, data audit or result executes.</x:v>
      </x:c>
    </x:row>
    <x:row r="21" ht="67.5" customHeight="1">
      <x:c r="A21" s="32" t="str">
        <x:v>FR-0002</x:v>
      </x:c>
      <x:c r="B21" s="33" t="str">
        <x:v>AutoBA</x:v>
      </x:c>
      <x:c r="C21" s="33" t="str">
        <x:v>A10</x:v>
      </x:c>
      <x:c r="D21" s="33" t="str">
        <x:v>Within doxy-PEP: month 6 versus day 0 coefficient for RNA tetracycline ARG expression-mass proportion; zero/one-inflated beta model, logit mu, adjusted for HIV and cephalosporin days</x:v>
      </x:c>
      <x:c r="E21" s="59" t="n">
        <x:v>1.5</x:v>
      </x:c>
      <x:c r="F21" s="58" t="str">
        <x:v>[0.94, 2]</x:v>
      </x:c>
      <x:c r="G21" s="59" t="n">
        <x:v>1.06</x:v>
      </x:c>
      <x:c r="H21" s="58" t="str">
        <x:v>No corresponding executed estimate</x:v>
      </x:c>
      <x:c r="I21" s="58" t="str">
        <x:v>Not reported</x:v>
      </x:c>
      <x:c r="J21" s="57" t="n">
        <x:v>2</x:v>
      </x:c>
      <x:c r="K21" s="34" t="n">
        <x:v>0</x:v>
      </x:c>
      <x:c r="L21" s="34" t="n">
        <x:f>J21*K21</x:f>
        <x:v>0</x:v>
      </x:c>
      <x:c r="M21" s="33" t="str">
        <x:v>Not answered</x:v>
      </x:c>
      <x:c r="N21" s="35" t="str">
        <x:v>Only repeated truncated plans are returned; no scientific command, data audit or result executes.</x:v>
      </x:c>
    </x:row>
    <x:row r="22" ht="67.5" customHeight="1">
      <x:c r="A22" s="32" t="str">
        <x:v>FR-0002</x:v>
      </x:c>
      <x:c r="B22" s="33" t="str">
        <x:v>AutoBA</x:v>
      </x:c>
      <x:c r="C22" s="33" t="str">
        <x:v>A11</x:v>
      </x:c>
      <x:c r="D22" s="33" t="str">
        <x:v>Within doxy-PEP: month 6 versus day 0 coefficient for RNA MLS ARG expression-mass proportion; zero/one-inflated beta model, logit mu, adjusted for HIV and cephalosporin days</x:v>
      </x:c>
      <x:c r="E22" s="59" t="n">
        <x:v>-0.76</x:v>
      </x:c>
      <x:c r="F22" s="58" t="str">
        <x:v>[-1.37, -0.15]</x:v>
      </x:c>
      <x:c r="G22" s="59" t="n">
        <x:v>1.22</x:v>
      </x:c>
      <x:c r="H22" s="58" t="str">
        <x:v>No corresponding executed estimate</x:v>
      </x:c>
      <x:c r="I22" s="58" t="str">
        <x:v>Not reported</x:v>
      </x:c>
      <x:c r="J22" s="57" t="n">
        <x:v>1</x:v>
      </x:c>
      <x:c r="K22" s="34" t="n">
        <x:v>0</x:v>
      </x:c>
      <x:c r="L22" s="34" t="n">
        <x:f>J22*K22</x:f>
        <x:v>0</x:v>
      </x:c>
      <x:c r="M22" s="33" t="str">
        <x:v>Not answered</x:v>
      </x:c>
      <x:c r="N22" s="35" t="str">
        <x:v>Only repeated truncated plans are returned; no scientific command, data audit or result executes.</x:v>
      </x:c>
    </x:row>
    <x:row r="23" ht="54" customHeight="1">
      <x:c r="A23" s="32" t="str">
        <x:v>FR-0002</x:v>
      </x:c>
      <x:c r="B23" s="33" t="str">
        <x:v>AutoBA</x:v>
      </x:c>
      <x:c r="C23" s="33" t="str">
        <x:v>A12</x:v>
      </x:c>
      <x:c r="D23" s="33" t="str">
        <x:v>All DNA samples: Spearman correlation of four cumulative doxycycline-dose categories with tetracycline ARG mass proportion</x:v>
      </x:c>
      <x:c r="E23" s="59" t="n">
        <x:v>0.23</x:v>
      </x:c>
      <x:c r="F23" s="58" t="str">
        <x:v>Not specified</x:v>
      </x:c>
      <x:c r="G23" s="59" t="n">
        <x:v>0.1</x:v>
      </x:c>
      <x:c r="H23" s="58" t="str">
        <x:v>No corresponding executed estimate</x:v>
      </x:c>
      <x:c r="I23" s="58" t="str">
        <x:v>Not reported</x:v>
      </x:c>
      <x:c r="J23" s="57" t="n">
        <x:v>1</x:v>
      </x:c>
      <x:c r="K23" s="34" t="n">
        <x:v>0</x:v>
      </x:c>
      <x:c r="L23" s="34" t="n">
        <x:f>J23*K23</x:f>
        <x:v>0</x:v>
      </x:c>
      <x:c r="M23" s="33" t="str">
        <x:v>Not answered</x:v>
      </x:c>
      <x:c r="N23" s="35" t="str">
        <x:v>Only repeated truncated plans are returned; no scientific command, data audit or result executes.</x:v>
      </x:c>
    </x:row>
    <x:row r="24" ht="54" customHeight="1">
      <x:c r="A24" s="32" t="str">
        <x:v>FR-0002</x:v>
      </x:c>
      <x:c r="B24" s="33" t="str">
        <x:v>AutoBA</x:v>
      </x:c>
      <x:c r="C24" s="33" t="str">
        <x:v>A13</x:v>
      </x:c>
      <x:c r="D24" s="33" t="str">
        <x:v>All RNA samples: Spearman correlation of four cumulative doxycycline-dose categories with expressed tetracycline ARG richness</x:v>
      </x:c>
      <x:c r="E24" s="59" t="n">
        <x:v>0.39</x:v>
      </x:c>
      <x:c r="F24" s="58" t="str">
        <x:v>Not specified</x:v>
      </x:c>
      <x:c r="G24" s="59" t="n">
        <x:v>0.15</x:v>
      </x:c>
      <x:c r="H24" s="58" t="str">
        <x:v>No corresponding executed estimate</x:v>
      </x:c>
      <x:c r="I24" s="58" t="str">
        <x:v>Not reported</x:v>
      </x:c>
      <x:c r="J24" s="57" t="n">
        <x:v>1</x:v>
      </x:c>
      <x:c r="K24" s="34" t="n">
        <x:v>0</x:v>
      </x:c>
      <x:c r="L24" s="34" t="n">
        <x:f>J24*K24</x:f>
        <x:v>0</x:v>
      </x:c>
      <x:c r="M24" s="33" t="str">
        <x:v>Not answered</x:v>
      </x:c>
      <x:c r="N24" s="35" t="str">
        <x:v>Only repeated truncated plans are returned; no scientific command, data audit or result executes.</x:v>
      </x:c>
    </x:row>
    <x:row r="25" ht="54" customHeight="1">
      <x:c r="A25" s="32" t="str">
        <x:v>FR-0002</x:v>
      </x:c>
      <x:c r="B25" s="33" t="str">
        <x:v>AutoBA</x:v>
      </x:c>
      <x:c r="C25" s="33" t="str">
        <x:v>A14</x:v>
      </x:c>
      <x:c r="D25" s="33" t="str">
        <x:v>All RNA samples: Spearman correlation of four cumulative doxycycline-dose categories with expressed tetracycline ARG mass proportion</x:v>
      </x:c>
      <x:c r="E25" s="59" t="n">
        <x:v>0.55</x:v>
      </x:c>
      <x:c r="F25" s="58" t="str">
        <x:v>Not specified</x:v>
      </x:c>
      <x:c r="G25" s="59" t="n">
        <x:v>0.15</x:v>
      </x:c>
      <x:c r="H25" s="58" t="str">
        <x:v>No corresponding executed estimate</x:v>
      </x:c>
      <x:c r="I25" s="58" t="str">
        <x:v>Not reported</x:v>
      </x:c>
      <x:c r="J25" s="57" t="n">
        <x:v>1</x:v>
      </x:c>
      <x:c r="K25" s="34" t="n">
        <x:v>0</x:v>
      </x:c>
      <x:c r="L25" s="34" t="n">
        <x:f>J25*K25</x:f>
        <x:v>0</x:v>
      </x:c>
      <x:c r="M25" s="33" t="str">
        <x:v>Not answered</x:v>
      </x:c>
      <x:c r="N25" s="35" t="str">
        <x:v>Only repeated truncated plans are returned; no scientific command, data audit or result executes.</x:v>
      </x:c>
    </x:row>
    <x:row r="26" ht="48" customHeight="1">
      <x:c r="A26" s="40" t="str">
        <x:v>FR-0003</x:v>
      </x:c>
      <x:c r="B26" s="41" t="str">
        <x:v>AutoBA</x:v>
      </x:c>
      <x:c r="C26" s="41" t="str">
        <x:v>A01</x:v>
      </x:c>
      <x:c r="D26" s="41" t="str">
        <x:v>Participants with all three target biopsies (baseline, weeks 24 and 52), both randomized arms</x:v>
      </x:c>
      <x:c r="E26" s="54" t="n">
        <x:v>20</x:v>
      </x:c>
      <x:c r="F26" s="55" t="str">
        <x:v>Not specified</x:v>
      </x:c>
      <x:c r="G26" s="54" t="n">
        <x:v>0</x:v>
      </x:c>
      <x:c r="H26" s="55" t="str">
        <x:v>No corresponding executed estimate</x:v>
      </x:c>
      <x:c r="I26" s="55" t="str">
        <x:v>Not reported</x:v>
      </x:c>
      <x:c r="J26" s="54" t="n">
        <x:v>1</x:v>
      </x:c>
      <x:c r="K26" s="56" t="n">
        <x:v>0</x:v>
      </x:c>
      <x:c r="L26" s="56" t="n">
        <x:f>J26*K26</x:f>
        <x:v>0</x:v>
      </x:c>
      <x:c r="M26" s="41" t="str">
        <x:v>Not answered</x:v>
      </x:c>
      <x:c r="N26" s="41" t="str">
        <x:v>No data audit or scientific analysis completed before dependency-install timeout; planned analyses do not supply numerical evidence.</x:v>
      </x:c>
    </x:row>
    <x:row r="27" ht="48" customHeight="1">
      <x:c r="A27" s="32" t="str">
        <x:v>FR-0003</x:v>
      </x:c>
      <x:c r="B27" s="33" t="str">
        <x:v>AutoBA</x:v>
      </x:c>
      <x:c r="C27" s="33" t="str">
        <x:v>A02</x:v>
      </x:c>
      <x:c r="D27" s="33" t="str">
        <x:v>Biopsies from the 20 participants with all three target visits</x:v>
      </x:c>
      <x:c r="E27" s="57" t="n">
        <x:v>60</x:v>
      </x:c>
      <x:c r="F27" s="58" t="str">
        <x:v>Not specified</x:v>
      </x:c>
      <x:c r="G27" s="57" t="n">
        <x:v>0</x:v>
      </x:c>
      <x:c r="H27" s="58" t="str">
        <x:v>No corresponding executed estimate</x:v>
      </x:c>
      <x:c r="I27" s="58" t="str">
        <x:v>Not reported</x:v>
      </x:c>
      <x:c r="J27" s="57" t="n">
        <x:v>1</x:v>
      </x:c>
      <x:c r="K27" s="34" t="n">
        <x:v>0</x:v>
      </x:c>
      <x:c r="L27" s="34" t="n">
        <x:f>J27*K27</x:f>
        <x:v>0</x:v>
      </x:c>
      <x:c r="M27" s="33" t="str">
        <x:v>Not answered</x:v>
      </x:c>
      <x:c r="N27" s="35" t="str">
        <x:v>No data audit or scientific analysis completed before dependency-install timeout; planned analyses do not supply numerical evidence.</x:v>
      </x:c>
    </x:row>
    <x:row r="28" ht="54" customHeight="1">
      <x:c r="A28" s="32" t="str">
        <x:v>FR-0003</x:v>
      </x:c>
      <x:c r="B28" s="33" t="str">
        <x:v>AutoBA</x:v>
      </x:c>
      <x:c r="C28" s="33" t="str">
        <x:v>A03</x:v>
      </x:c>
      <x:c r="D28" s="33" t="str">
        <x:v>ABMR probability: felzartamab minus placebo difference in group-median change from baseline to week 24, native scale</x:v>
      </x:c>
      <x:c r="E28" s="59" t="n">
        <x:v>-0.67</x:v>
      </x:c>
      <x:c r="F28" s="58" t="str">
        <x:v>Not specified</x:v>
      </x:c>
      <x:c r="G28" s="59" t="n">
        <x:v>0.35</x:v>
      </x:c>
      <x:c r="H28" s="58" t="str">
        <x:v>No corresponding executed estimate</x:v>
      </x:c>
      <x:c r="I28" s="58" t="str">
        <x:v>Not reported</x:v>
      </x:c>
      <x:c r="J28" s="57" t="n">
        <x:v>2</x:v>
      </x:c>
      <x:c r="K28" s="34" t="n">
        <x:v>0</x:v>
      </x:c>
      <x:c r="L28" s="34" t="n">
        <x:f>J28*K28</x:f>
        <x:v>0</x:v>
      </x:c>
      <x:c r="M28" s="33" t="str">
        <x:v>Not answered</x:v>
      </x:c>
      <x:c r="N28" s="35" t="str">
        <x:v>No data audit or scientific analysis completed before dependency-install timeout; planned analyses do not supply numerical evidence.</x:v>
      </x:c>
    </x:row>
    <x:row r="29" ht="54" customHeight="1">
      <x:c r="A29" s="32" t="str">
        <x:v>FR-0003</x:v>
      </x:c>
      <x:c r="B29" s="33" t="str">
        <x:v>AutoBA</x:v>
      </x:c>
      <x:c r="C29" s="33" t="str">
        <x:v>A04</x:v>
      </x:c>
      <x:c r="D29" s="33" t="str">
        <x:v>ABMR probability: felzartamab minus placebo difference in group-median change from week 24 to week 52, native scale</x:v>
      </x:c>
      <x:c r="E29" s="59" t="n">
        <x:v>0.79</x:v>
      </x:c>
      <x:c r="F29" s="58" t="str">
        <x:v>Not specified</x:v>
      </x:c>
      <x:c r="G29" s="59" t="n">
        <x:v>0.45</x:v>
      </x:c>
      <x:c r="H29" s="58" t="str">
        <x:v>No corresponding executed estimate</x:v>
      </x:c>
      <x:c r="I29" s="58" t="str">
        <x:v>Not reported</x:v>
      </x:c>
      <x:c r="J29" s="57" t="n">
        <x:v>2</x:v>
      </x:c>
      <x:c r="K29" s="34" t="n">
        <x:v>0</x:v>
      </x:c>
      <x:c r="L29" s="34" t="n">
        <x:f>J29*K29</x:f>
        <x:v>0</x:v>
      </x:c>
      <x:c r="M29" s="33" t="str">
        <x:v>Not answered</x:v>
      </x:c>
      <x:c r="N29" s="35" t="str">
        <x:v>No data audit or scientific analysis completed before dependency-install timeout; planned analyses do not supply numerical evidence.</x:v>
      </x:c>
    </x:row>
    <x:row r="30" ht="54" customHeight="1">
      <x:c r="A30" s="32" t="str">
        <x:v>FR-0003</x:v>
      </x:c>
      <x:c r="B30" s="33" t="str">
        <x:v>AutoBA</x:v>
      </x:c>
      <x:c r="C30" s="33" t="str">
        <x:v>A05</x:v>
      </x:c>
      <x:c r="D30" s="33" t="str">
        <x:v>NK cell burden: felzartamab minus placebo difference in group-median change from baseline to week 24, native scale</x:v>
      </x:c>
      <x:c r="E30" s="59" t="n">
        <x:v>-0.8</x:v>
      </x:c>
      <x:c r="F30" s="58" t="str">
        <x:v>Not specified</x:v>
      </x:c>
      <x:c r="G30" s="59" t="n">
        <x:v>0.36</x:v>
      </x:c>
      <x:c r="H30" s="58" t="str">
        <x:v>No corresponding executed estimate</x:v>
      </x:c>
      <x:c r="I30" s="58" t="str">
        <x:v>Not reported</x:v>
      </x:c>
      <x:c r="J30" s="57" t="n">
        <x:v>1</x:v>
      </x:c>
      <x:c r="K30" s="34" t="n">
        <x:v>0</x:v>
      </x:c>
      <x:c r="L30" s="34" t="n">
        <x:f>J30*K30</x:f>
        <x:v>0</x:v>
      </x:c>
      <x:c r="M30" s="33" t="str">
        <x:v>Not answered</x:v>
      </x:c>
      <x:c r="N30" s="35" t="str">
        <x:v>No data audit or scientific analysis completed before dependency-install timeout; planned analyses do not supply numerical evidence.</x:v>
      </x:c>
    </x:row>
    <x:row r="31" ht="54" customHeight="1">
      <x:c r="A31" s="32" t="str">
        <x:v>FR-0003</x:v>
      </x:c>
      <x:c r="B31" s="33" t="str">
        <x:v>AutoBA</x:v>
      </x:c>
      <x:c r="C31" s="33" t="str">
        <x:v>A06</x:v>
      </x:c>
      <x:c r="D31" s="33" t="str">
        <x:v>TCMR probability: felzartamab minus placebo difference in group-median change from baseline to week 24, native scale</x:v>
      </x:c>
      <x:c r="E31" s="59" t="n">
        <x:v>0.01</x:v>
      </x:c>
      <x:c r="F31" s="58" t="str">
        <x:v>Not specified</x:v>
      </x:c>
      <x:c r="G31" s="59" t="n">
        <x:v>0.05</x:v>
      </x:c>
      <x:c r="H31" s="58" t="str">
        <x:v>No corresponding executed estimate</x:v>
      </x:c>
      <x:c r="I31" s="58" t="str">
        <x:v>Not reported</x:v>
      </x:c>
      <x:c r="J31" s="57" t="n">
        <x:v>1</x:v>
      </x:c>
      <x:c r="K31" s="34" t="n">
        <x:v>0</x:v>
      </x:c>
      <x:c r="L31" s="34" t="n">
        <x:f>J31*K31</x:f>
        <x:v>0</x:v>
      </x:c>
      <x:c r="M31" s="33" t="str">
        <x:v>Not answered</x:v>
      </x:c>
      <x:c r="N31" s="35" t="str">
        <x:v>No data audit or scientific analysis completed before dependency-install timeout; planned analyses do not supply numerical evidence.</x:v>
      </x:c>
    </x:row>
    <x:row r="32" ht="48" customHeight="1">
      <x:c r="A32" s="32" t="str">
        <x:v>FR-0003</x:v>
      </x:c>
      <x:c r="B32" s="33" t="str">
        <x:v>AutoBA</x:v>
      </x:c>
      <x:c r="C32" s="33" t="str">
        <x:v>A07</x:v>
      </x:c>
      <x:c r="D32" s="33" t="str">
        <x:v>Injury-repair-associated score: felzartamab minus placebo annual linear-trajectory slope difference</x:v>
      </x:c>
      <x:c r="E32" s="59" t="n">
        <x:v>-0.6</x:v>
      </x:c>
      <x:c r="F32" s="58" t="str">
        <x:v>[-1.1, -0.1]</x:v>
      </x:c>
      <x:c r="G32" s="57" t="n">
        <x:v>1</x:v>
      </x:c>
      <x:c r="H32" s="58" t="str">
        <x:v>No corresponding executed estimate</x:v>
      </x:c>
      <x:c r="I32" s="58" t="str">
        <x:v>Not reported</x:v>
      </x:c>
      <x:c r="J32" s="57" t="n">
        <x:v>1</x:v>
      </x:c>
      <x:c r="K32" s="34" t="n">
        <x:v>0</x:v>
      </x:c>
      <x:c r="L32" s="34" t="n">
        <x:f>J32*K32</x:f>
        <x:v>0</x:v>
      </x:c>
      <x:c r="M32" s="33" t="str">
        <x:v>Not answered</x:v>
      </x:c>
      <x:c r="N32" s="35" t="str">
        <x:v>No data audit or scientific analysis completed before dependency-install timeout; planned analyses do not supply numerical evidence.</x:v>
      </x:c>
    </x:row>
    <x:row r="33" ht="48" customHeight="1">
      <x:c r="A33" s="32" t="str">
        <x:v>FR-0003</x:v>
      </x:c>
      <x:c r="B33" s="33" t="str">
        <x:v>AutoBA</x:v>
      </x:c>
      <x:c r="C33" s="33" t="str">
        <x:v>A08</x:v>
      </x:c>
      <x:c r="D33" s="33" t="str">
        <x:v>Injury-repair day-3 score: felzartamab minus placebo annual linear-trajectory slope difference</x:v>
      </x:c>
      <x:c r="E33" s="59" t="n">
        <x:v>-0.2</x:v>
      </x:c>
      <x:c r="F33" s="58" t="str">
        <x:v>[-0.37, -0.02]</x:v>
      </x:c>
      <x:c r="G33" s="59" t="n">
        <x:v>0.35</x:v>
      </x:c>
      <x:c r="H33" s="58" t="str">
        <x:v>No corresponding executed estimate</x:v>
      </x:c>
      <x:c r="I33" s="58" t="str">
        <x:v>Not reported</x:v>
      </x:c>
      <x:c r="J33" s="57" t="n">
        <x:v>2</x:v>
      </x:c>
      <x:c r="K33" s="34" t="n">
        <x:v>0</x:v>
      </x:c>
      <x:c r="L33" s="34" t="n">
        <x:f>J33*K33</x:f>
        <x:v>0</x:v>
      </x:c>
      <x:c r="M33" s="33" t="str">
        <x:v>Not answered</x:v>
      </x:c>
      <x:c r="N33" s="35" t="str">
        <x:v>No data audit or scientific analysis completed before dependency-install timeout; planned analyses do not supply numerical evidence.</x:v>
      </x:c>
    </x:row>
    <x:row r="34" ht="48" customHeight="1">
      <x:c r="A34" s="32" t="str">
        <x:v>FR-0003</x:v>
      </x:c>
      <x:c r="B34" s="33" t="str">
        <x:v>AutoBA</x:v>
      </x:c>
      <x:c r="C34" s="33" t="str">
        <x:v>A09</x:v>
      </x:c>
      <x:c r="D34" s="33" t="str">
        <x:v>Injury-repair day-5 score: felzartamab minus placebo annual linear-trajectory slope difference</x:v>
      </x:c>
      <x:c r="E34" s="59" t="n">
        <x:v>-0.23</x:v>
      </x:c>
      <x:c r="F34" s="58" t="str">
        <x:v>[-0.41, -0.05]</x:v>
      </x:c>
      <x:c r="G34" s="59" t="n">
        <x:v>0.36</x:v>
      </x:c>
      <x:c r="H34" s="58" t="str">
        <x:v>No corresponding executed estimate</x:v>
      </x:c>
      <x:c r="I34" s="58" t="str">
        <x:v>Not reported</x:v>
      </x:c>
      <x:c r="J34" s="57" t="n">
        <x:v>2</x:v>
      </x:c>
      <x:c r="K34" s="34" t="n">
        <x:v>0</x:v>
      </x:c>
      <x:c r="L34" s="34" t="n">
        <x:f>J34*K34</x:f>
        <x:v>0</x:v>
      </x:c>
      <x:c r="M34" s="33" t="str">
        <x:v>Not answered</x:v>
      </x:c>
      <x:c r="N34" s="35" t="str">
        <x:v>No data audit or scientific analysis completed before dependency-install timeout; planned analyses do not supply numerical evidence.</x:v>
      </x:c>
    </x:row>
    <x:row r="35" ht="54" customHeight="1">
      <x:c r="A35" s="32" t="str">
        <x:v>FR-0003</x:v>
      </x:c>
      <x:c r="B35" s="33" t="str">
        <x:v>AutoBA</x:v>
      </x:c>
      <x:c r="C35" s="33" t="str">
        <x:v>A10</x:v>
      </x:c>
      <x:c r="D35" s="33" t="str">
        <x:v>CXCL11: baseline-to-week-24 difference in log fold change under the published limma design (each arm change divided by 2)</x:v>
      </x:c>
      <x:c r="E35" s="59" t="n">
        <x:v>-0.85</x:v>
      </x:c>
      <x:c r="F35" s="58" t="str">
        <x:v>Not specified</x:v>
      </x:c>
      <x:c r="G35" s="59" t="n">
        <x:v>0.2</x:v>
      </x:c>
      <x:c r="H35" s="58" t="str">
        <x:v>No corresponding executed estimate</x:v>
      </x:c>
      <x:c r="I35" s="58" t="str">
        <x:v>Not reported</x:v>
      </x:c>
      <x:c r="J35" s="57" t="n">
        <x:v>1</x:v>
      </x:c>
      <x:c r="K35" s="34" t="n">
        <x:v>0</x:v>
      </x:c>
      <x:c r="L35" s="34" t="n">
        <x:f>J35*K35</x:f>
        <x:v>0</x:v>
      </x:c>
      <x:c r="M35" s="33" t="str">
        <x:v>Not answered</x:v>
      </x:c>
      <x:c r="N35" s="35" t="str">
        <x:v>No data audit or scientific analysis completed before dependency-install timeout; planned analyses do not supply numerical evidence.</x:v>
      </x:c>
    </x:row>
    <x:row r="36" ht="54" customHeight="1">
      <x:c r="A36" s="32" t="str">
        <x:v>FR-0003</x:v>
      </x:c>
      <x:c r="B36" s="33" t="str">
        <x:v>AutoBA</x:v>
      </x:c>
      <x:c r="C36" s="33" t="str">
        <x:v>A11</x:v>
      </x:c>
      <x:c r="D36" s="33" t="str">
        <x:v>Negatively enriched ABMR/immune pathways at FDR &lt;0.05 in the specified multi-database GSEA, baseline to week 24</x:v>
      </x:c>
      <x:c r="E36" s="57" t="n">
        <x:v>12</x:v>
      </x:c>
      <x:c r="F36" s="58" t="str">
        <x:v>Not specified</x:v>
      </x:c>
      <x:c r="G36" s="57" t="n">
        <x:v>1</x:v>
      </x:c>
      <x:c r="H36" s="58" t="str">
        <x:v>No corresponding executed estimate</x:v>
      </x:c>
      <x:c r="I36" s="58" t="str">
        <x:v>Not reported</x:v>
      </x:c>
      <x:c r="J36" s="57" t="n">
        <x:v>1</x:v>
      </x:c>
      <x:c r="K36" s="34" t="n">
        <x:v>0</x:v>
      </x:c>
      <x:c r="L36" s="34" t="n">
        <x:f>J36*K36</x:f>
        <x:v>0</x:v>
      </x:c>
      <x:c r="M36" s="33" t="str">
        <x:v>Not answered</x:v>
      </x:c>
      <x:c r="N36" s="35" t="str">
        <x:v>No data audit or scientific analysis completed before dependency-install timeout; planned analyses do not supply numerical evidence.</x:v>
      </x:c>
    </x:row>
    <x:row r="37" ht="54" customHeight="1">
      <x:c r="A37" s="32" t="str">
        <x:v>FR-0003</x:v>
      </x:c>
      <x:c r="B37" s="33" t="str">
        <x:v>AutoBA</x:v>
      </x:c>
      <x:c r="C37" s="33" t="str">
        <x:v>A12</x:v>
      </x:c>
      <x:c r="D37" s="33" t="str">
        <x:v>Genes annotated as injury-induced and downregulated among the top 20 genes ranked by unadjusted P, baseline to week 52</x:v>
      </x:c>
      <x:c r="E37" s="57" t="n">
        <x:v>17</x:v>
      </x:c>
      <x:c r="F37" s="58" t="str">
        <x:v>Not specified</x:v>
      </x:c>
      <x:c r="G37" s="57" t="n">
        <x:v>1</x:v>
      </x:c>
      <x:c r="H37" s="58" t="str">
        <x:v>No corresponding executed estimate</x:v>
      </x:c>
      <x:c r="I37" s="58" t="str">
        <x:v>Not reported</x:v>
      </x:c>
      <x:c r="J37" s="57" t="n">
        <x:v>1</x:v>
      </x:c>
      <x:c r="K37" s="34" t="n">
        <x:v>0</x:v>
      </x:c>
      <x:c r="L37" s="34" t="n">
        <x:f>J37*K37</x:f>
        <x:v>0</x:v>
      </x:c>
      <x:c r="M37" s="33" t="str">
        <x:v>Not answered</x:v>
      </x:c>
      <x:c r="N37" s="35" t="str">
        <x:v>No data audit or scientific analysis completed before dependency-install timeout; planned analyses do not supply numerical evidence.</x:v>
      </x:c>
    </x:row>
    <x:row r="38" ht="54" customHeight="1">
      <x:c r="A38" s="40" t="str">
        <x:v>FR-0004</x:v>
      </x:c>
      <x:c r="B38" s="41" t="str">
        <x:v>AutoBA</x:v>
      </x:c>
      <x:c r="C38" s="41" t="str">
        <x:v>A1</x:v>
      </x:c>
      <x:c r="D38" s="41" t="str">
        <x:v>adjusted difference in VF MD yearly slope (dB/year) per 1-SD higher basal PBMC OCR in the entire treated POAG cohort</x:v>
      </x:c>
      <x:c r="E38" s="60" t="n">
        <x:v>0.186</x:v>
      </x:c>
      <x:c r="F38" s="55" t="str">
        <x:v>[0.1174, 0.2546]</x:v>
      </x:c>
      <x:c r="G38" s="60" t="n">
        <x:v>0.1372</x:v>
      </x:c>
      <x:c r="H38" s="55" t="str">
        <x:v>No corresponding executed estimate</x:v>
      </x:c>
      <x:c r="I38" s="55" t="str">
        <x:v>Not reported</x:v>
      </x:c>
      <x:c r="J38" s="54" t="n">
        <x:v>2</x:v>
      </x:c>
      <x:c r="K38" s="56" t="n">
        <x:v>0</x:v>
      </x:c>
      <x:c r="L38" s="56" t="n">
        <x:f>J38*K38</x:f>
        <x:v>0</x:v>
      </x:c>
      <x:c r="M38" s="41" t="str">
        <x:v>Not answered</x:v>
      </x:c>
      <x:c r="N38" s="41" t="str">
        <x:v>No successfully executed OCR-versus-annual-MD-progression estimate.</x:v>
      </x:c>
    </x:row>
    <x:row r="39" ht="48" customHeight="1">
      <x:c r="A39" s="32" t="str">
        <x:v>FR-0004</x:v>
      </x:c>
      <x:c r="B39" s="33" t="str">
        <x:v>AutoBA</x:v>
      </x:c>
      <x:c r="C39" s="33" t="str">
        <x:v>A2</x:v>
      </x:c>
      <x:c r="D39" s="33" t="str">
        <x:v>adjusted difference in VF MD yearly slope (dB/year) per 1-SD higher basal PBMC OCR among NTG eyes</x:v>
      </x:c>
      <x:c r="E39" s="59" t="n">
        <x:v>0.176</x:v>
      </x:c>
      <x:c r="F39" s="58" t="str">
        <x:v>[0.08388, 0.26812]</x:v>
      </x:c>
      <x:c r="G39" s="59" t="n">
        <x:v>0.18424</x:v>
      </x:c>
      <x:c r="H39" s="58" t="str">
        <x:v>No corresponding executed estimate</x:v>
      </x:c>
      <x:c r="I39" s="58" t="str">
        <x:v>Not reported</x:v>
      </x:c>
      <x:c r="J39" s="57" t="n">
        <x:v>1</x:v>
      </x:c>
      <x:c r="K39" s="34" t="n">
        <x:v>0</x:v>
      </x:c>
      <x:c r="L39" s="34" t="n">
        <x:f>J39*K39</x:f>
        <x:v>0</x:v>
      </x:c>
      <x:c r="M39" s="33" t="str">
        <x:v>Not answered</x:v>
      </x:c>
      <x:c r="N39" s="35" t="str">
        <x:v>No successfully executed OCR-versus-annual-MD-progression estimate.</x:v>
      </x:c>
    </x:row>
    <x:row r="40" ht="48" customHeight="1">
      <x:c r="A40" s="32" t="str">
        <x:v>FR-0004</x:v>
      </x:c>
      <x:c r="B40" s="33" t="str">
        <x:v>AutoBA</x:v>
      </x:c>
      <x:c r="C40" s="33" t="str">
        <x:v>A3</x:v>
      </x:c>
      <x:c r="D40" s="33" t="str">
        <x:v>adjusted difference in VF MD yearly slope (dB/year) per 1-SD higher basal PBMC OCR among HTG eyes</x:v>
      </x:c>
      <x:c r="E40" s="59" t="n">
        <x:v>0.197</x:v>
      </x:c>
      <x:c r="F40" s="58" t="str">
        <x:v>[0.07744, 0.31656]</x:v>
      </x:c>
      <x:c r="G40" s="59" t="n">
        <x:v>0.23912</x:v>
      </x:c>
      <x:c r="H40" s="58" t="str">
        <x:v>No corresponding executed estimate</x:v>
      </x:c>
      <x:c r="I40" s="58" t="str">
        <x:v>Not reported</x:v>
      </x:c>
      <x:c r="J40" s="57" t="n">
        <x:v>1</x:v>
      </x:c>
      <x:c r="K40" s="34" t="n">
        <x:v>0</x:v>
      </x:c>
      <x:c r="L40" s="34" t="n">
        <x:f>J40*K40</x:f>
        <x:v>0</x:v>
      </x:c>
      <x:c r="M40" s="33" t="str">
        <x:v>Not answered</x:v>
      </x:c>
      <x:c r="N40" s="35" t="str">
        <x:v>No successfully executed OCR-versus-annual-MD-progression estimate.</x:v>
      </x:c>
    </x:row>
    <x:row r="41" ht="54" customHeight="1">
      <x:c r="A41" s="32" t="str">
        <x:v>FR-0004</x:v>
      </x:c>
      <x:c r="B41" s="33" t="str">
        <x:v>AutoBA</x:v>
      </x:c>
      <x:c r="C41" s="33" t="str">
        <x:v>A4</x:v>
      </x:c>
      <x:c r="D41" s="33" t="str">
        <x:v>adjusted difference in VF MD yearly slope (dB/year) per 1-SD higher ATP-linked PBMC OCR in the entire treated POAG cohort</x:v>
      </x:c>
      <x:c r="E41" s="59" t="n">
        <x:v>0.199</x:v>
      </x:c>
      <x:c r="F41" s="58" t="str">
        <x:v>[0.13236, 0.26564]</x:v>
      </x:c>
      <x:c r="G41" s="59" t="n">
        <x:v>0.13328</x:v>
      </x:c>
      <x:c r="H41" s="58" t="str">
        <x:v>No corresponding executed estimate</x:v>
      </x:c>
      <x:c r="I41" s="58" t="str">
        <x:v>Not reported</x:v>
      </x:c>
      <x:c r="J41" s="57" t="n">
        <x:v>1</x:v>
      </x:c>
      <x:c r="K41" s="34" t="n">
        <x:v>0</x:v>
      </x:c>
      <x:c r="L41" s="34" t="n">
        <x:f>J41*K41</x:f>
        <x:v>0</x:v>
      </x:c>
      <x:c r="M41" s="33" t="str">
        <x:v>Not answered</x:v>
      </x:c>
      <x:c r="N41" s="35" t="str">
        <x:v>No successfully executed OCR-versus-annual-MD-progression estimate.</x:v>
      </x:c>
    </x:row>
    <x:row r="42" ht="54" customHeight="1">
      <x:c r="A42" s="32" t="str">
        <x:v>FR-0004</x:v>
      </x:c>
      <x:c r="B42" s="33" t="str">
        <x:v>AutoBA</x:v>
      </x:c>
      <x:c r="C42" s="33" t="str">
        <x:v>A5</x:v>
      </x:c>
      <x:c r="D42" s="33" t="str">
        <x:v>adjusted difference in VF MD yearly slope (dB/year) per 1-SD higher maximal PBMC OCR in the entire treated POAG cohort</x:v>
      </x:c>
      <x:c r="E42" s="59" t="n">
        <x:v>0.123</x:v>
      </x:c>
      <x:c r="F42" s="58" t="str">
        <x:v>[0.05244, 0.19356]</x:v>
      </x:c>
      <x:c r="G42" s="59" t="n">
        <x:v>0.14112</x:v>
      </x:c>
      <x:c r="H42" s="58" t="str">
        <x:v>No corresponding executed estimate</x:v>
      </x:c>
      <x:c r="I42" s="58" t="str">
        <x:v>Not reported</x:v>
      </x:c>
      <x:c r="J42" s="57" t="n">
        <x:v>1</x:v>
      </x:c>
      <x:c r="K42" s="34" t="n">
        <x:v>0</x:v>
      </x:c>
      <x:c r="L42" s="34" t="n">
        <x:f>J42*K42</x:f>
        <x:v>0</x:v>
      </x:c>
      <x:c r="M42" s="33" t="str">
        <x:v>Not answered</x:v>
      </x:c>
      <x:c r="N42" s="35" t="str">
        <x:v>No successfully executed OCR-versus-annual-MD-progression estimate.</x:v>
      </x:c>
    </x:row>
    <x:row r="43" ht="54" customHeight="1">
      <x:c r="A43" s="32" t="str">
        <x:v>FR-0004</x:v>
      </x:c>
      <x:c r="B43" s="33" t="str">
        <x:v>AutoBA</x:v>
      </x:c>
      <x:c r="C43" s="33" t="str">
        <x:v>A6</x:v>
      </x:c>
      <x:c r="D43" s="33" t="str">
        <x:v>adjusted difference in VF MD yearly slope (dB/year) per 1-SD higher PBMC reserve capacity in the entire treated POAG cohort</x:v>
      </x:c>
      <x:c r="E43" s="59" t="n">
        <x:v>0.108</x:v>
      </x:c>
      <x:c r="F43" s="58" t="str">
        <x:v>[0.03744, 0.17856]</x:v>
      </x:c>
      <x:c r="G43" s="59" t="n">
        <x:v>0.14112</x:v>
      </x:c>
      <x:c r="H43" s="58" t="str">
        <x:v>No corresponding executed estimate</x:v>
      </x:c>
      <x:c r="I43" s="58" t="str">
        <x:v>Not reported</x:v>
      </x:c>
      <x:c r="J43" s="57" t="n">
        <x:v>1</x:v>
      </x:c>
      <x:c r="K43" s="34" t="n">
        <x:v>0</x:v>
      </x:c>
      <x:c r="L43" s="34" t="n">
        <x:f>J43*K43</x:f>
        <x:v>0</x:v>
      </x:c>
      <x:c r="M43" s="33" t="str">
        <x:v>Not answered</x:v>
      </x:c>
      <x:c r="N43" s="35" t="str">
        <x:v>No successfully executed OCR-versus-annual-MD-progression estimate.</x:v>
      </x:c>
    </x:row>
    <x:row r="44" ht="48" customHeight="1">
      <x:c r="A44" s="40" t="str">
        <x:v>FR-0005</x:v>
      </x:c>
      <x:c r="B44" s="41" t="str">
        <x:v>AutoBA</x:v>
      </x:c>
      <x:c r="C44" s="41" t="str">
        <x:v>A01</x:v>
      </x:c>
      <x:c r="D44" s="41" t="str">
        <x:v>Unique mother-child pairs in the infant cohort</x:v>
      </x:c>
      <x:c r="E44" s="54" t="n">
        <x:v>94</x:v>
      </x:c>
      <x:c r="F44" s="55" t="str">
        <x:v>Not specified</x:v>
      </x:c>
      <x:c r="G44" s="54" t="n">
        <x:v>0</x:v>
      </x:c>
      <x:c r="H44" s="55" t="str">
        <x:v>No corresponding executed estimate</x:v>
      </x:c>
      <x:c r="I44" s="55" t="str">
        <x:v>Not reported</x:v>
      </x:c>
      <x:c r="J44" s="54" t="n">
        <x:v>1</x:v>
      </x:c>
      <x:c r="K44" s="56" t="n">
        <x:v>0</x:v>
      </x:c>
      <x:c r="L44" s="56" t="n">
        <x:f>J44*K44</x:f>
        <x:v>0</x:v>
      </x:c>
      <x:c r="M44" s="41" t="str">
        <x:v>Not answered</x:v>
      </x:c>
      <x:c r="N44" s="41" t="str">
        <x:v>No scientific computation is reached; no corresponding executed estimate.</x:v>
      </x:c>
    </x:row>
    <x:row r="45" ht="48" customHeight="1">
      <x:c r="A45" s="32" t="str">
        <x:v>FR-0005</x:v>
      </x:c>
      <x:c r="B45" s="33" t="str">
        <x:v>AutoBA</x:v>
      </x:c>
      <x:c r="C45" s="33" t="str">
        <x:v>A02</x:v>
      </x:c>
      <x:c r="D45" s="33" t="str">
        <x:v>Infants with new exposure after 6 months under the published serological rule</x:v>
      </x:c>
      <x:c r="E45" s="57" t="n">
        <x:v>22</x:v>
      </x:c>
      <x:c r="F45" s="58" t="str">
        <x:v>Not specified</x:v>
      </x:c>
      <x:c r="G45" s="57" t="n">
        <x:v>0</x:v>
      </x:c>
      <x:c r="H45" s="58" t="str">
        <x:v>No corresponding executed estimate</x:v>
      </x:c>
      <x:c r="I45" s="58" t="str">
        <x:v>Not reported</x:v>
      </x:c>
      <x:c r="J45" s="57" t="n">
        <x:v>1</x:v>
      </x:c>
      <x:c r="K45" s="34" t="n">
        <x:v>0</x:v>
      </x:c>
      <x:c r="L45" s="34" t="n">
        <x:f>J45*K45</x:f>
        <x:v>0</x:v>
      </x:c>
      <x:c r="M45" s="33" t="str">
        <x:v>Not answered</x:v>
      </x:c>
      <x:c r="N45" s="35" t="str">
        <x:v>No scientific computation is reached; no corresponding executed estimate.</x:v>
      </x:c>
    </x:row>
    <x:row r="46" ht="48" customHeight="1">
      <x:c r="A46" s="32" t="str">
        <x:v>FR-0005</x:v>
      </x:c>
      <x:c r="B46" s="33" t="str">
        <x:v>AutoBA</x:v>
      </x:c>
      <x:c r="C46" s="33" t="str">
        <x:v>A03</x:v>
      </x:c>
      <x:c r="D46" s="33" t="str">
        <x:v>Proportion with new serological exposure from month 6 to months 9/10/11</x:v>
      </x:c>
      <x:c r="E46" s="59" t="n">
        <x:v>0.23</x:v>
      </x:c>
      <x:c r="F46" s="58" t="str">
        <x:v>Not specified</x:v>
      </x:c>
      <x:c r="G46" s="59" t="n">
        <x:v>0.05</x:v>
      </x:c>
      <x:c r="H46" s="58" t="str">
        <x:v>No corresponding executed estimate</x:v>
      </x:c>
      <x:c r="I46" s="58" t="str">
        <x:v>Not reported</x:v>
      </x:c>
      <x:c r="J46" s="57" t="n">
        <x:v>1</x:v>
      </x:c>
      <x:c r="K46" s="34" t="n">
        <x:v>0</x:v>
      </x:c>
      <x:c r="L46" s="34" t="n">
        <x:f>J46*K46</x:f>
        <x:v>0</x:v>
      </x:c>
      <x:c r="M46" s="33" t="str">
        <x:v>Not answered</x:v>
      </x:c>
      <x:c r="N46" s="35" t="str">
        <x:v>No scientific computation is reached; no corresponding executed estimate.</x:v>
      </x:c>
    </x:row>
    <x:row r="47" ht="48" customHeight="1">
      <x:c r="A47" s="32" t="str">
        <x:v>FR-0005</x:v>
      </x:c>
      <x:c r="B47" s="33" t="str">
        <x:v>AutoBA</x:v>
      </x:c>
      <x:c r="C47" s="33" t="str">
        <x:v>A04</x:v>
      </x:c>
      <x:c r="D47" s="33" t="str">
        <x:v>Participants in the SpyCATS baseline life-course IgG analysis</x:v>
      </x:c>
      <x:c r="E47" s="57" t="n">
        <x:v>413</x:v>
      </x:c>
      <x:c r="F47" s="58" t="str">
        <x:v>Not specified</x:v>
      </x:c>
      <x:c r="G47" s="57" t="n">
        <x:v>0</x:v>
      </x:c>
      <x:c r="H47" s="58" t="str">
        <x:v>No corresponding executed estimate</x:v>
      </x:c>
      <x:c r="I47" s="58" t="str">
        <x:v>Not reported</x:v>
      </x:c>
      <x:c r="J47" s="57" t="n">
        <x:v>1</x:v>
      </x:c>
      <x:c r="K47" s="34" t="n">
        <x:v>0</x:v>
      </x:c>
      <x:c r="L47" s="34" t="n">
        <x:f>J47*K47</x:f>
        <x:v>0</x:v>
      </x:c>
      <x:c r="M47" s="33" t="str">
        <x:v>Not answered</x:v>
      </x:c>
      <x:c r="N47" s="35" t="str">
        <x:v>No scientific computation is reached; no corresponding executed estimate.</x:v>
      </x:c>
    </x:row>
    <x:row r="48" ht="48" customHeight="1">
      <x:c r="A48" s="32" t="str">
        <x:v>FR-0005</x:v>
      </x:c>
      <x:c r="B48" s="33" t="str">
        <x:v>AutoBA</x:v>
      </x:c>
      <x:c r="C48" s="33" t="str">
        <x:v>A05</x:v>
      </x:c>
      <x:c r="D48" s="33" t="str">
        <x:v>Minimum pairwise Pearson correlation among five antigen-specific IgG measures at baseline</x:v>
      </x:c>
      <x:c r="E48" s="59" t="n">
        <x:v>0.65</x:v>
      </x:c>
      <x:c r="F48" s="58" t="str">
        <x:v>Not specified</x:v>
      </x:c>
      <x:c r="G48" s="59" t="n">
        <x:v>0.1</x:v>
      </x:c>
      <x:c r="H48" s="58" t="str">
        <x:v>No corresponding executed estimate</x:v>
      </x:c>
      <x:c r="I48" s="58" t="str">
        <x:v>Not reported</x:v>
      </x:c>
      <x:c r="J48" s="57" t="n">
        <x:v>1</x:v>
      </x:c>
      <x:c r="K48" s="34" t="n">
        <x:v>0</x:v>
      </x:c>
      <x:c r="L48" s="34" t="n">
        <x:f>J48*K48</x:f>
        <x:v>0</x:v>
      </x:c>
      <x:c r="M48" s="33" t="str">
        <x:v>Not answered</x:v>
      </x:c>
      <x:c r="N48" s="35" t="str">
        <x:v>No scientific computation is reached; no corresponding executed estimate.</x:v>
      </x:c>
    </x:row>
    <x:row r="49" ht="48" customHeight="1">
      <x:c r="A49" s="32" t="str">
        <x:v>FR-0005</x:v>
      </x:c>
      <x:c r="B49" s="33" t="str">
        <x:v>AutoBA</x:v>
      </x:c>
      <x:c r="C49" s="33" t="str">
        <x:v>A06</x:v>
      </x:c>
      <x:c r="D49" s="33" t="str">
        <x:v>Maximum pairwise Pearson correlation among five antigen-specific IgG measures at baseline</x:v>
      </x:c>
      <x:c r="E49" s="59" t="n">
        <x:v>0.86</x:v>
      </x:c>
      <x:c r="F49" s="58" t="str">
        <x:v>Not specified</x:v>
      </x:c>
      <x:c r="G49" s="59" t="n">
        <x:v>0.1</x:v>
      </x:c>
      <x:c r="H49" s="58" t="str">
        <x:v>No corresponding executed estimate</x:v>
      </x:c>
      <x:c r="I49" s="58" t="str">
        <x:v>Not reported</x:v>
      </x:c>
      <x:c r="J49" s="57" t="n">
        <x:v>1</x:v>
      </x:c>
      <x:c r="K49" s="34" t="n">
        <x:v>0</x:v>
      </x:c>
      <x:c r="L49" s="34" t="n">
        <x:f>J49*K49</x:f>
        <x:v>0</x:v>
      </x:c>
      <x:c r="M49" s="33" t="str">
        <x:v>Not answered</x:v>
      </x:c>
      <x:c r="N49" s="35" t="str">
        <x:v>No scientific computation is reached; no corresponding executed estimate.</x:v>
      </x:c>
    </x:row>
    <x:row r="50" ht="48" customHeight="1">
      <x:c r="A50" s="32" t="str">
        <x:v>FR-0005</x:v>
      </x:c>
      <x:c r="B50" s="33" t="str">
        <x:v>AutoBA</x:v>
      </x:c>
      <x:c r="C50" s="33" t="str">
        <x:v>A07</x:v>
      </x:c>
      <x:c r="D50" s="33" t="str">
        <x:v>Culture-confirmed events with paired pre-event and post-event IgG</x:v>
      </x:c>
      <x:c r="E50" s="57" t="n">
        <x:v>150</x:v>
      </x:c>
      <x:c r="F50" s="58" t="str">
        <x:v>Not specified</x:v>
      </x:c>
      <x:c r="G50" s="57" t="n">
        <x:v>0</x:v>
      </x:c>
      <x:c r="H50" s="58" t="str">
        <x:v>No corresponding executed estimate</x:v>
      </x:c>
      <x:c r="I50" s="58" t="str">
        <x:v>Not reported</x:v>
      </x:c>
      <x:c r="J50" s="57" t="n">
        <x:v>1</x:v>
      </x:c>
      <x:c r="K50" s="34" t="n">
        <x:v>0</x:v>
      </x:c>
      <x:c r="L50" s="34" t="n">
        <x:f>J50*K50</x:f>
        <x:v>0</x:v>
      </x:c>
      <x:c r="M50" s="33" t="str">
        <x:v>Not answered</x:v>
      </x:c>
      <x:c r="N50" s="35" t="str">
        <x:v>No scientific computation is reached; no corresponding executed estimate.</x:v>
      </x:c>
    </x:row>
    <x:row r="51" ht="48" customHeight="1">
      <x:c r="A51" s="32" t="str">
        <x:v>FR-0005</x:v>
      </x:c>
      <x:c r="B51" s="33" t="str">
        <x:v>AutoBA</x:v>
      </x:c>
      <x:c r="C51" s="33" t="str">
        <x:v>A08</x:v>
      </x:c>
      <x:c r="D51" s="33" t="str">
        <x:v>Minimum mean post-event log10 IgG increase across five antigens (log10 RLU/mL)</x:v>
      </x:c>
      <x:c r="E51" s="59" t="n">
        <x:v>0.1</x:v>
      </x:c>
      <x:c r="F51" s="58" t="str">
        <x:v>Not specified</x:v>
      </x:c>
      <x:c r="G51" s="59" t="n">
        <x:v>0.05</x:v>
      </x:c>
      <x:c r="H51" s="58" t="str">
        <x:v>No corresponding executed estimate</x:v>
      </x:c>
      <x:c r="I51" s="58" t="str">
        <x:v>Not reported</x:v>
      </x:c>
      <x:c r="J51" s="57" t="n">
        <x:v>1</x:v>
      </x:c>
      <x:c r="K51" s="34" t="n">
        <x:v>0</x:v>
      </x:c>
      <x:c r="L51" s="34" t="n">
        <x:f>J51*K51</x:f>
        <x:v>0</x:v>
      </x:c>
      <x:c r="M51" s="33" t="str">
        <x:v>Not answered</x:v>
      </x:c>
      <x:c r="N51" s="35" t="str">
        <x:v>No scientific computation is reached; no corresponding executed estimate.</x:v>
      </x:c>
    </x:row>
    <x:row r="52" ht="48" customHeight="1">
      <x:c r="A52" s="32" t="str">
        <x:v>FR-0005</x:v>
      </x:c>
      <x:c r="B52" s="33" t="str">
        <x:v>AutoBA</x:v>
      </x:c>
      <x:c r="C52" s="33" t="str">
        <x:v>A09</x:v>
      </x:c>
      <x:c r="D52" s="33" t="str">
        <x:v>Maximum mean post-event log10 IgG increase across five antigens (log10 RLU/mL)</x:v>
      </x:c>
      <x:c r="E52" s="59" t="n">
        <x:v>0.19</x:v>
      </x:c>
      <x:c r="F52" s="58" t="str">
        <x:v>Not specified</x:v>
      </x:c>
      <x:c r="G52" s="59" t="n">
        <x:v>0.05</x:v>
      </x:c>
      <x:c r="H52" s="58" t="str">
        <x:v>No corresponding executed estimate</x:v>
      </x:c>
      <x:c r="I52" s="58" t="str">
        <x:v>Not reported</x:v>
      </x:c>
      <x:c r="J52" s="57" t="n">
        <x:v>1</x:v>
      </x:c>
      <x:c r="K52" s="34" t="n">
        <x:v>0</x:v>
      </x:c>
      <x:c r="L52" s="34" t="n">
        <x:f>J52*K52</x:f>
        <x:v>0</x:v>
      </x:c>
      <x:c r="M52" s="33" t="str">
        <x:v>Not answered</x:v>
      </x:c>
      <x:c r="N52" s="35" t="str">
        <x:v>No scientific computation is reached; no corresponding executed estimate.</x:v>
      </x:c>
    </x:row>
    <x:row r="53" ht="48" customHeight="1">
      <x:c r="A53" s="32" t="str">
        <x:v>FR-0005</x:v>
      </x:c>
      <x:c r="B53" s="33" t="str">
        <x:v>AutoBA</x:v>
      </x:c>
      <x:c r="C53" s="33" t="str">
        <x:v>A10</x:v>
      </x:c>
      <x:c r="D53" s="33" t="str">
        <x:v>Minimum difference in post-event log10 IgG increase, age &lt;2 years minus adults, across five antigens</x:v>
      </x:c>
      <x:c r="E53" s="59" t="n">
        <x:v>0.25</x:v>
      </x:c>
      <x:c r="F53" s="58" t="str">
        <x:v>Not specified</x:v>
      </x:c>
      <x:c r="G53" s="59" t="n">
        <x:v>0.1</x:v>
      </x:c>
      <x:c r="H53" s="58" t="str">
        <x:v>No corresponding executed estimate</x:v>
      </x:c>
      <x:c r="I53" s="58" t="str">
        <x:v>Not reported</x:v>
      </x:c>
      <x:c r="J53" s="57" t="n">
        <x:v>1</x:v>
      </x:c>
      <x:c r="K53" s="34" t="n">
        <x:v>0</x:v>
      </x:c>
      <x:c r="L53" s="34" t="n">
        <x:f>J53*K53</x:f>
        <x:v>0</x:v>
      </x:c>
      <x:c r="M53" s="33" t="str">
        <x:v>Not answered</x:v>
      </x:c>
      <x:c r="N53" s="35" t="str">
        <x:v>No scientific computation is reached; no corresponding executed estimate.</x:v>
      </x:c>
    </x:row>
    <x:row r="54" ht="48" customHeight="1">
      <x:c r="A54" s="32" t="str">
        <x:v>FR-0005</x:v>
      </x:c>
      <x:c r="B54" s="33" t="str">
        <x:v>AutoBA</x:v>
      </x:c>
      <x:c r="C54" s="33" t="str">
        <x:v>A11</x:v>
      </x:c>
      <x:c r="D54" s="33" t="str">
        <x:v>Maximum difference in post-event log10 IgG increase, age &lt;2 years minus adults, across five antigens</x:v>
      </x:c>
      <x:c r="E54" s="59" t="n">
        <x:v>0.54</x:v>
      </x:c>
      <x:c r="F54" s="58" t="str">
        <x:v>Not specified</x:v>
      </x:c>
      <x:c r="G54" s="59" t="n">
        <x:v>0.1</x:v>
      </x:c>
      <x:c r="H54" s="58" t="str">
        <x:v>No corresponding executed estimate</x:v>
      </x:c>
      <x:c r="I54" s="58" t="str">
        <x:v>Not reported</x:v>
      </x:c>
      <x:c r="J54" s="57" t="n">
        <x:v>1</x:v>
      </x:c>
      <x:c r="K54" s="34" t="n">
        <x:v>0</x:v>
      </x:c>
      <x:c r="L54" s="34" t="n">
        <x:f>J54*K54</x:f>
        <x:v>0</x:v>
      </x:c>
      <x:c r="M54" s="33" t="str">
        <x:v>Not answered</x:v>
      </x:c>
      <x:c r="N54" s="35" t="str">
        <x:v>No scientific computation is reached; no corresponding executed estimate.</x:v>
      </x:c>
    </x:row>
    <x:row r="55" ht="48" customHeight="1">
      <x:c r="A55" s="32" t="str">
        <x:v>FR-0005</x:v>
      </x:c>
      <x:c r="B55" s="33" t="str">
        <x:v>AutoBA</x:v>
      </x:c>
      <x:c r="C55" s="33" t="str">
        <x:v>A12</x:v>
      </x:c>
      <x:c r="D55" s="33" t="str">
        <x:v>Unique participant-IgG measurement timepoints in the protection analysis</x:v>
      </x:c>
      <x:c r="E55" s="57" t="n">
        <x:v>1987</x:v>
      </x:c>
      <x:c r="F55" s="58" t="str">
        <x:v>Not specified</x:v>
      </x:c>
      <x:c r="G55" s="57" t="n">
        <x:v>0</x:v>
      </x:c>
      <x:c r="H55" s="58" t="str">
        <x:v>No corresponding executed estimate</x:v>
      </x:c>
      <x:c r="I55" s="58" t="str">
        <x:v>Not reported</x:v>
      </x:c>
      <x:c r="J55" s="57" t="n">
        <x:v>1</x:v>
      </x:c>
      <x:c r="K55" s="34" t="n">
        <x:v>0</x:v>
      </x:c>
      <x:c r="L55" s="34" t="n">
        <x:f>J55*K55</x:f>
        <x:v>0</x:v>
      </x:c>
      <x:c r="M55" s="33" t="str">
        <x:v>Not answered</x:v>
      </x:c>
      <x:c r="N55" s="35" t="str">
        <x:v>No scientific computation is reached; no corresponding executed estimate.</x:v>
      </x:c>
    </x:row>
    <x:row r="56" ht="48" customHeight="1">
      <x:c r="A56" s="32" t="str">
        <x:v>FR-0005</x:v>
      </x:c>
      <x:c r="B56" s="33" t="str">
        <x:v>AutoBA</x:v>
      </x:c>
      <x:c r="C56" s="33" t="str">
        <x:v>A13</x:v>
      </x:c>
      <x:c r="D56" s="33" t="str">
        <x:v>Participants with at least one IgG measurement in the protection analysis</x:v>
      </x:c>
      <x:c r="E56" s="57" t="n">
        <x:v>431</x:v>
      </x:c>
      <x:c r="F56" s="58" t="str">
        <x:v>Not specified</x:v>
      </x:c>
      <x:c r="G56" s="57" t="n">
        <x:v>0</x:v>
      </x:c>
      <x:c r="H56" s="58" t="str">
        <x:v>No corresponding executed estimate</x:v>
      </x:c>
      <x:c r="I56" s="58" t="str">
        <x:v>Not reported</x:v>
      </x:c>
      <x:c r="J56" s="57" t="n">
        <x:v>1</x:v>
      </x:c>
      <x:c r="K56" s="34" t="n">
        <x:v>0</x:v>
      </x:c>
      <x:c r="L56" s="34" t="n">
        <x:f>J56*K56</x:f>
        <x:v>0</x:v>
      </x:c>
      <x:c r="M56" s="33" t="str">
        <x:v>Not answered</x:v>
      </x:c>
      <x:c r="N56" s="35" t="str">
        <x:v>No scientific computation is reached; no corresponding executed estimate.</x:v>
      </x:c>
    </x:row>
    <x:row r="57" ht="48" customHeight="1">
      <x:c r="A57" s="32" t="str">
        <x:v>FR-0005</x:v>
      </x:c>
      <x:c r="B57" s="33" t="str">
        <x:v>AutoBA</x:v>
      </x:c>
      <x:c r="C57" s="33" t="str">
        <x:v>A15</x:v>
      </x:c>
      <x:c r="D57" s="33" t="str">
        <x:v>Follow-up records in the 45-day event-probability analysis</x:v>
      </x:c>
      <x:c r="E57" s="57" t="n">
        <x:v>4677</x:v>
      </x:c>
      <x:c r="F57" s="58" t="str">
        <x:v>Not specified</x:v>
      </x:c>
      <x:c r="G57" s="57" t="n">
        <x:v>0</x:v>
      </x:c>
      <x:c r="H57" s="58" t="str">
        <x:v>No corresponding executed estimate</x:v>
      </x:c>
      <x:c r="I57" s="58" t="str">
        <x:v>Not reported</x:v>
      </x:c>
      <x:c r="J57" s="57" t="n">
        <x:v>1</x:v>
      </x:c>
      <x:c r="K57" s="34" t="n">
        <x:v>0</x:v>
      </x:c>
      <x:c r="L57" s="34" t="n">
        <x:f>J57*K57</x:f>
        <x:v>0</x:v>
      </x:c>
      <x:c r="M57" s="33" t="str">
        <x:v>Not answered</x:v>
      </x:c>
      <x:c r="N57" s="35" t="str">
        <x:v>No scientific computation is reached; no corresponding executed estimate.</x:v>
      </x:c>
    </x:row>
    <x:row r="58" ht="54" customHeight="1">
      <x:c r="A58" s="32" t="str">
        <x:v>FR-0005</x:v>
      </x:c>
      <x:c r="B58" s="33" t="str">
        <x:v>AutoBA</x:v>
      </x:c>
      <x:c r="C58" s="33" t="str">
        <x:v>A16</x:v>
      </x:c>
      <x:c r="D58" s="33" t="str">
        <x:v>SpyCEP: OR for any culture-confirmed event within 45 days per 1 log10 RLU/mL higher IgG in the unsegmented model</x:v>
      </x:c>
      <x:c r="E58" s="59" t="n">
        <x:v>0.68</x:v>
      </x:c>
      <x:c r="F58" s="58" t="str">
        <x:v>[0.5, 0.92]</x:v>
      </x:c>
      <x:c r="G58" s="59" t="n">
        <x:v>0.42</x:v>
      </x:c>
      <x:c r="H58" s="58" t="str">
        <x:v>No corresponding executed estimate</x:v>
      </x:c>
      <x:c r="I58" s="58" t="str">
        <x:v>Not reported</x:v>
      </x:c>
      <x:c r="J58" s="57" t="n">
        <x:v>1</x:v>
      </x:c>
      <x:c r="K58" s="34" t="n">
        <x:v>0</x:v>
      </x:c>
      <x:c r="L58" s="34" t="n">
        <x:f>J58*K58</x:f>
        <x:v>0</x:v>
      </x:c>
      <x:c r="M58" s="33" t="str">
        <x:v>Not answered</x:v>
      </x:c>
      <x:c r="N58" s="35" t="str">
        <x:v>No scientific computation is reached; no corresponding executed estimate.</x:v>
      </x:c>
    </x:row>
    <x:row r="59" ht="48" customHeight="1">
      <x:c r="A59" s="32" t="str">
        <x:v>FR-0005</x:v>
      </x:c>
      <x:c r="B59" s="33" t="str">
        <x:v>AutoBA</x:v>
      </x:c>
      <x:c r="C59" s="33" t="str">
        <x:v>A17</x:v>
      </x:c>
      <x:c r="D59" s="33" t="str">
        <x:v>SLO: OR for any culture-confirmed event within 45 days per 1 log10 RLU/mL above the breakpoint</x:v>
      </x:c>
      <x:c r="E59" s="59" t="n">
        <x:v>0.06</x:v>
      </x:c>
      <x:c r="F59" s="58" t="str">
        <x:v>[0.01, 0.49]</x:v>
      </x:c>
      <x:c r="G59" s="59" t="n">
        <x:v>0.48</x:v>
      </x:c>
      <x:c r="H59" s="58" t="str">
        <x:v>No corresponding executed estimate</x:v>
      </x:c>
      <x:c r="I59" s="58" t="str">
        <x:v>Not reported</x:v>
      </x:c>
      <x:c r="J59" s="57" t="n">
        <x:v>2</x:v>
      </x:c>
      <x:c r="K59" s="34" t="n">
        <x:v>0</x:v>
      </x:c>
      <x:c r="L59" s="34" t="n">
        <x:f>J59*K59</x:f>
        <x:v>0</x:v>
      </x:c>
      <x:c r="M59" s="33" t="str">
        <x:v>Not answered</x:v>
      </x:c>
      <x:c r="N59" s="35" t="str">
        <x:v>No scientific computation is reached; no corresponding executed estimate.</x:v>
      </x:c>
    </x:row>
    <x:row r="60" ht="48" customHeight="1">
      <x:c r="A60" s="32" t="str">
        <x:v>FR-0005</x:v>
      </x:c>
      <x:c r="B60" s="33" t="str">
        <x:v>AutoBA</x:v>
      </x:c>
      <x:c r="C60" s="33" t="str">
        <x:v>A18</x:v>
      </x:c>
      <x:c r="D60" s="33" t="str">
        <x:v>SpyAD: OR for any culture-confirmed event within 45 days per 1 log10 RLU/mL above the breakpoint</x:v>
      </x:c>
      <x:c r="E60" s="59" t="n">
        <x:v>0.34</x:v>
      </x:c>
      <x:c r="F60" s="58" t="str">
        <x:v>[0.15, 0.77]</x:v>
      </x:c>
      <x:c r="G60" s="59" t="n">
        <x:v>0.62</x:v>
      </x:c>
      <x:c r="H60" s="58" t="str">
        <x:v>No corresponding executed estimate</x:v>
      </x:c>
      <x:c r="I60" s="58" t="str">
        <x:v>Not reported</x:v>
      </x:c>
      <x:c r="J60" s="57" t="n">
        <x:v>2</x:v>
      </x:c>
      <x:c r="K60" s="34" t="n">
        <x:v>0</x:v>
      </x:c>
      <x:c r="L60" s="34" t="n">
        <x:f>J60*K60</x:f>
        <x:v>0</x:v>
      </x:c>
      <x:c r="M60" s="33" t="str">
        <x:v>Not answered</x:v>
      </x:c>
      <x:c r="N60" s="35" t="str">
        <x:v>No scientific computation is reached; no corresponding executed estimate.</x:v>
      </x:c>
    </x:row>
    <x:row r="61" ht="48" customHeight="1">
      <x:c r="A61" s="32" t="str">
        <x:v>FR-0005</x:v>
      </x:c>
      <x:c r="B61" s="33" t="str">
        <x:v>AutoBA</x:v>
      </x:c>
      <x:c r="C61" s="33" t="str">
        <x:v>A19</x:v>
      </x:c>
      <x:c r="D61" s="33" t="str">
        <x:v>SpyCEP: OR for any culture-confirmed event within 45 days per 1 log10 RLU/mL above the breakpoint</x:v>
      </x:c>
      <x:c r="E61" s="59" t="n">
        <x:v>0.25</x:v>
      </x:c>
      <x:c r="F61" s="58" t="str">
        <x:v>[0.09, 0.68]</x:v>
      </x:c>
      <x:c r="G61" s="59" t="n">
        <x:v>0.59</x:v>
      </x:c>
      <x:c r="H61" s="58" t="str">
        <x:v>No corresponding executed estimate</x:v>
      </x:c>
      <x:c r="I61" s="58" t="str">
        <x:v>Not reported</x:v>
      </x:c>
      <x:c r="J61" s="57" t="n">
        <x:v>2</x:v>
      </x:c>
      <x:c r="K61" s="34" t="n">
        <x:v>0</x:v>
      </x:c>
      <x:c r="L61" s="34" t="n">
        <x:f>J61*K61</x:f>
        <x:v>0</x:v>
      </x:c>
      <x:c r="M61" s="33" t="str">
        <x:v>Not answered</x:v>
      </x:c>
      <x:c r="N61" s="35" t="str">
        <x:v>No scientific computation is reached; no corresponding executed estimate.</x:v>
      </x:c>
    </x:row>
    <x:row r="62" ht="48" customHeight="1">
      <x:c r="A62" s="32" t="str">
        <x:v>FR-0005</x:v>
      </x:c>
      <x:c r="B62" s="33" t="str">
        <x:v>AutoBA</x:v>
      </x:c>
      <x:c r="C62" s="33" t="str">
        <x:v>A20</x:v>
      </x:c>
      <x:c r="D62" s="33" t="str">
        <x:v>SLO: putative 50% protective IgG threshold (RLU/mL)</x:v>
      </x:c>
      <x:c r="E62" s="57" t="n">
        <x:v>39209</x:v>
      </x:c>
      <x:c r="F62" s="58" t="str">
        <x:v>[34037, 45904]</x:v>
      </x:c>
      <x:c r="G62" s="57" t="n">
        <x:v>11867</x:v>
      </x:c>
      <x:c r="H62" s="58" t="str">
        <x:v>No corresponding executed estimate</x:v>
      </x:c>
      <x:c r="I62" s="58" t="str">
        <x:v>Not reported</x:v>
      </x:c>
      <x:c r="J62" s="57" t="n">
        <x:v>1</x:v>
      </x:c>
      <x:c r="K62" s="34" t="n">
        <x:v>0</x:v>
      </x:c>
      <x:c r="L62" s="34" t="n">
        <x:f>J62*K62</x:f>
        <x:v>0</x:v>
      </x:c>
      <x:c r="M62" s="33" t="str">
        <x:v>Not answered</x:v>
      </x:c>
      <x:c r="N62" s="35" t="str">
        <x:v>No scientific computation is reached; no corresponding executed estimate.</x:v>
      </x:c>
    </x:row>
    <x:row r="63" ht="48" customHeight="1">
      <x:c r="A63" s="32" t="str">
        <x:v>FR-0005</x:v>
      </x:c>
      <x:c r="B63" s="33" t="str">
        <x:v>AutoBA</x:v>
      </x:c>
      <x:c r="C63" s="33" t="str">
        <x:v>A21</x:v>
      </x:c>
      <x:c r="D63" s="33" t="str">
        <x:v>SpyAD: putative 50% protective IgG threshold (RLU/mL)</x:v>
      </x:c>
      <x:c r="E63" s="57" t="n">
        <x:v>65454</x:v>
      </x:c>
      <x:c r="F63" s="58" t="str">
        <x:v>[54748, 89448]</x:v>
      </x:c>
      <x:c r="G63" s="57" t="n">
        <x:v>34700</x:v>
      </x:c>
      <x:c r="H63" s="58" t="str">
        <x:v>No corresponding executed estimate</x:v>
      </x:c>
      <x:c r="I63" s="58" t="str">
        <x:v>Not reported</x:v>
      </x:c>
      <x:c r="J63" s="57" t="n">
        <x:v>1</x:v>
      </x:c>
      <x:c r="K63" s="34" t="n">
        <x:v>0</x:v>
      </x:c>
      <x:c r="L63" s="34" t="n">
        <x:f>J63*K63</x:f>
        <x:v>0</x:v>
      </x:c>
      <x:c r="M63" s="33" t="str">
        <x:v>Not answered</x:v>
      </x:c>
      <x:c r="N63" s="35" t="str">
        <x:v>No scientific computation is reached; no corresponding executed estimate.</x:v>
      </x:c>
    </x:row>
    <x:row r="64" ht="48" customHeight="1">
      <x:c r="A64" s="32" t="str">
        <x:v>FR-0005</x:v>
      </x:c>
      <x:c r="B64" s="33" t="str">
        <x:v>AutoBA</x:v>
      </x:c>
      <x:c r="C64" s="33" t="str">
        <x:v>A22</x:v>
      </x:c>
      <x:c r="D64" s="33" t="str">
        <x:v>SpyCEP: putative 50% protective IgG threshold (RLU/mL)</x:v>
      </x:c>
      <x:c r="E64" s="57" t="n">
        <x:v>70643</x:v>
      </x:c>
      <x:c r="F64" s="58" t="str">
        <x:v>[61509, 82577]</x:v>
      </x:c>
      <x:c r="G64" s="57" t="n">
        <x:v>21068</x:v>
      </x:c>
      <x:c r="H64" s="58" t="str">
        <x:v>No corresponding executed estimate</x:v>
      </x:c>
      <x:c r="I64" s="58" t="str">
        <x:v>Not reported</x:v>
      </x:c>
      <x:c r="J64" s="57" t="n">
        <x:v>1</x:v>
      </x:c>
      <x:c r="K64" s="34" t="n">
        <x:v>0</x:v>
      </x:c>
      <x:c r="L64" s="34" t="n">
        <x:f>J64*K64</x:f>
        <x:v>0</x:v>
      </x:c>
      <x:c r="M64" s="33" t="str">
        <x:v>Not answered</x:v>
      </x:c>
      <x:c r="N64" s="35" t="str">
        <x:v>No scientific computation is reached; no corresponding executed estimate.</x:v>
      </x:c>
    </x:row>
    <x:row r="65" ht="48" customHeight="1">
      <x:c r="A65" s="32" t="str">
        <x:v>FR-0005</x:v>
      </x:c>
      <x:c r="B65" s="33" t="str">
        <x:v>AutoBA</x:v>
      </x:c>
      <x:c r="C65" s="33" t="str">
        <x:v>A23</x:v>
      </x:c>
      <x:c r="D65" s="33" t="str">
        <x:v>Participants with baseline IgG above the SLO 50% protective threshold</x:v>
      </x:c>
      <x:c r="E65" s="57" t="n">
        <x:v>44</x:v>
      </x:c>
      <x:c r="F65" s="58" t="str">
        <x:v>Not specified</x:v>
      </x:c>
      <x:c r="G65" s="57" t="n">
        <x:v>0</x:v>
      </x:c>
      <x:c r="H65" s="58" t="str">
        <x:v>No corresponding executed estimate</x:v>
      </x:c>
      <x:c r="I65" s="58" t="str">
        <x:v>Not reported</x:v>
      </x:c>
      <x:c r="J65" s="57" t="n">
        <x:v>1</x:v>
      </x:c>
      <x:c r="K65" s="34" t="n">
        <x:v>0</x:v>
      </x:c>
      <x:c r="L65" s="34" t="n">
        <x:f>J65*K65</x:f>
        <x:v>0</x:v>
      </x:c>
      <x:c r="M65" s="33" t="str">
        <x:v>Not answered</x:v>
      </x:c>
      <x:c r="N65" s="35" t="str">
        <x:v>No scientific computation is reached; no corresponding executed estimate.</x:v>
      </x:c>
    </x:row>
    <x:row r="66" ht="48" customHeight="1">
      <x:c r="A66" s="32" t="str">
        <x:v>FR-0005</x:v>
      </x:c>
      <x:c r="B66" s="33" t="str">
        <x:v>AutoBA</x:v>
      </x:c>
      <x:c r="C66" s="33" t="str">
        <x:v>A24</x:v>
      </x:c>
      <x:c r="D66" s="33" t="str">
        <x:v>Participants with baseline IgG above the SpyAD 50% protective threshold</x:v>
      </x:c>
      <x:c r="E66" s="57" t="n">
        <x:v>43</x:v>
      </x:c>
      <x:c r="F66" s="58" t="str">
        <x:v>Not specified</x:v>
      </x:c>
      <x:c r="G66" s="57" t="n">
        <x:v>0</x:v>
      </x:c>
      <x:c r="H66" s="58" t="str">
        <x:v>No corresponding executed estimate</x:v>
      </x:c>
      <x:c r="I66" s="58" t="str">
        <x:v>Not reported</x:v>
      </x:c>
      <x:c r="J66" s="57" t="n">
        <x:v>1</x:v>
      </x:c>
      <x:c r="K66" s="34" t="n">
        <x:v>0</x:v>
      </x:c>
      <x:c r="L66" s="34" t="n">
        <x:f>J66*K66</x:f>
        <x:v>0</x:v>
      </x:c>
      <x:c r="M66" s="33" t="str">
        <x:v>Not answered</x:v>
      </x:c>
      <x:c r="N66" s="35" t="str">
        <x:v>No scientific computation is reached; no corresponding executed estimate.</x:v>
      </x:c>
    </x:row>
    <x:row r="67" ht="48" customHeight="1">
      <x:c r="A67" s="32" t="str">
        <x:v>FR-0005</x:v>
      </x:c>
      <x:c r="B67" s="33" t="str">
        <x:v>AutoBA</x:v>
      </x:c>
      <x:c r="C67" s="33" t="str">
        <x:v>A25</x:v>
      </x:c>
      <x:c r="D67" s="33" t="str">
        <x:v>Participants with baseline IgG above the SpyCEP 50% protective threshold</x:v>
      </x:c>
      <x:c r="E67" s="57" t="n">
        <x:v>66</x:v>
      </x:c>
      <x:c r="F67" s="58" t="str">
        <x:v>Not specified</x:v>
      </x:c>
      <x:c r="G67" s="57" t="n">
        <x:v>0</x:v>
      </x:c>
      <x:c r="H67" s="58" t="str">
        <x:v>No corresponding executed estimate</x:v>
      </x:c>
      <x:c r="I67" s="58" t="str">
        <x:v>Not reported</x:v>
      </x:c>
      <x:c r="J67" s="57" t="n">
        <x:v>1</x:v>
      </x:c>
      <x:c r="K67" s="34" t="n">
        <x:v>0</x:v>
      </x:c>
      <x:c r="L67" s="34" t="n">
        <x:f>J67*K67</x:f>
        <x:v>0</x:v>
      </x:c>
      <x:c r="M67" s="33" t="str">
        <x:v>Not answered</x:v>
      </x:c>
      <x:c r="N67" s="35" t="str">
        <x:v>No scientific computation is reached; no corresponding executed estimate.</x:v>
      </x:c>
    </x:row>
    <x:row r="68" ht="48" customHeight="1">
      <x:c r="A68" s="32" t="str">
        <x:v>FR-0005</x:v>
      </x:c>
      <x:c r="B68" s="33" t="str">
        <x:v>AutoBA</x:v>
      </x:c>
      <x:c r="C68" s="33" t="str">
        <x:v>A26</x:v>
      </x:c>
      <x:c r="D68" s="33" t="str">
        <x:v>OR for a 45-day event with high responses to at least two versus one antigen at the 33% threshold</x:v>
      </x:c>
      <x:c r="E68" s="59" t="n">
        <x:v>0.47</x:v>
      </x:c>
      <x:c r="F68" s="58" t="str">
        <x:v>[0.25, 0.86]</x:v>
      </x:c>
      <x:c r="G68" s="59" t="n">
        <x:v>0.61</x:v>
      </x:c>
      <x:c r="H68" s="58" t="str">
        <x:v>No corresponding executed estimate</x:v>
      </x:c>
      <x:c r="I68" s="58" t="str">
        <x:v>Not reported</x:v>
      </x:c>
      <x:c r="J68" s="57" t="n">
        <x:v>1</x:v>
      </x:c>
      <x:c r="K68" s="34" t="n">
        <x:v>0</x:v>
      </x:c>
      <x:c r="L68" s="34" t="n">
        <x:f>J68*K68</x:f>
        <x:v>0</x:v>
      </x:c>
      <x:c r="M68" s="33" t="str">
        <x:v>Not answered</x:v>
      </x:c>
      <x:c r="N68" s="35" t="str">
        <x:v>No scientific computation is reached; no corresponding executed estimate.</x:v>
      </x:c>
    </x:row>
    <x:row r="69" ht="48" customHeight="1">
      <x:c r="A69" s="32" t="str">
        <x:v>FR-0005</x:v>
      </x:c>
      <x:c r="B69" s="33" t="str">
        <x:v>AutoBA</x:v>
      </x:c>
      <x:c r="C69" s="33" t="str">
        <x:v>A27</x:v>
      </x:c>
      <x:c r="D69" s="33" t="str">
        <x:v>Any culture-confirmed events in the fully adjusted Andersen-Gill model</x:v>
      </x:c>
      <x:c r="E69" s="57" t="n">
        <x:v>165</x:v>
      </x:c>
      <x:c r="F69" s="58" t="str">
        <x:v>Not specified</x:v>
      </x:c>
      <x:c r="G69" s="57" t="n">
        <x:v>0</x:v>
      </x:c>
      <x:c r="H69" s="58" t="str">
        <x:v>No corresponding executed estimate</x:v>
      </x:c>
      <x:c r="I69" s="58" t="str">
        <x:v>Not reported</x:v>
      </x:c>
      <x:c r="J69" s="57" t="n">
        <x:v>1</x:v>
      </x:c>
      <x:c r="K69" s="34" t="n">
        <x:v>0</x:v>
      </x:c>
      <x:c r="L69" s="34" t="n">
        <x:f>J69*K69</x:f>
        <x:v>0</x:v>
      </x:c>
      <x:c r="M69" s="33" t="str">
        <x:v>Not answered</x:v>
      </x:c>
      <x:c r="N69" s="35" t="str">
        <x:v>No scientific computation is reached; no corresponding executed estimate.</x:v>
      </x:c>
    </x:row>
    <x:row r="70" ht="67.5" customHeight="1">
      <x:c r="A70" s="32" t="str">
        <x:v>FR-0005</x:v>
      </x:c>
      <x:c r="B70" s="33" t="str">
        <x:v>AutoBA</x:v>
      </x:c>
      <x:c r="C70" s="33" t="str">
        <x:v>A28</x:v>
      </x:c>
      <x:c r="D70" s="33" t="str">
        <x:v>SLO: HR for any culture-confirmed event per 1 log10 IgG above the breakpoint, adjusted for age group, sex and household size with repeated/household clustering</x:v>
      </x:c>
      <x:c r="E70" s="59" t="n">
        <x:v>0.04</x:v>
      </x:c>
      <x:c r="F70" s="58" t="str">
        <x:v>[0.01, 0.23]</x:v>
      </x:c>
      <x:c r="G70" s="59" t="n">
        <x:v>0.22</x:v>
      </x:c>
      <x:c r="H70" s="58" t="str">
        <x:v>No corresponding executed estimate</x:v>
      </x:c>
      <x:c r="I70" s="58" t="str">
        <x:v>Not reported</x:v>
      </x:c>
      <x:c r="J70" s="57" t="n">
        <x:v>2</x:v>
      </x:c>
      <x:c r="K70" s="34" t="n">
        <x:v>0</x:v>
      </x:c>
      <x:c r="L70" s="34" t="n">
        <x:f>J70*K70</x:f>
        <x:v>0</x:v>
      </x:c>
      <x:c r="M70" s="33" t="str">
        <x:v>Not answered</x:v>
      </x:c>
      <x:c r="N70" s="35" t="str">
        <x:v>No scientific computation is reached; no corresponding executed estimate.</x:v>
      </x:c>
    </x:row>
    <x:row r="71" ht="54" customHeight="1">
      <x:c r="A71" s="32" t="str">
        <x:v>FR-0005</x:v>
      </x:c>
      <x:c r="B71" s="33" t="str">
        <x:v>AutoBA</x:v>
      </x:c>
      <x:c r="C71" s="33" t="str">
        <x:v>A29</x:v>
      </x:c>
      <x:c r="D71" s="33" t="str">
        <x:v>SpyAD: HR for any culture-confirmed event per 1 log10 IgG above the breakpoint under the fully adjusted model</x:v>
      </x:c>
      <x:c r="E71" s="59" t="n">
        <x:v>0.29</x:v>
      </x:c>
      <x:c r="F71" s="58" t="str">
        <x:v>[0.16, 0.53]</x:v>
      </x:c>
      <x:c r="G71" s="59" t="n">
        <x:v>0.37</x:v>
      </x:c>
      <x:c r="H71" s="58" t="str">
        <x:v>No corresponding executed estimate</x:v>
      </x:c>
      <x:c r="I71" s="58" t="str">
        <x:v>Not reported</x:v>
      </x:c>
      <x:c r="J71" s="57" t="n">
        <x:v>2</x:v>
      </x:c>
      <x:c r="K71" s="34" t="n">
        <x:v>0</x:v>
      </x:c>
      <x:c r="L71" s="34" t="n">
        <x:f>J71*K71</x:f>
        <x:v>0</x:v>
      </x:c>
      <x:c r="M71" s="33" t="str">
        <x:v>Not answered</x:v>
      </x:c>
      <x:c r="N71" s="35" t="str">
        <x:v>No scientific computation is reached; no corresponding executed estimate.</x:v>
      </x:c>
    </x:row>
    <x:row r="72" ht="54" customHeight="1">
      <x:c r="A72" s="32" t="str">
        <x:v>FR-0005</x:v>
      </x:c>
      <x:c r="B72" s="33" t="str">
        <x:v>AutoBA</x:v>
      </x:c>
      <x:c r="C72" s="33" t="str">
        <x:v>A30</x:v>
      </x:c>
      <x:c r="D72" s="33" t="str">
        <x:v>SpyCEP: HR for any culture-confirmed event per 1 log10 IgG above the breakpoint under the fully adjusted model</x:v>
      </x:c>
      <x:c r="E72" s="59" t="n">
        <x:v>0.38</x:v>
      </x:c>
      <x:c r="F72" s="58" t="str">
        <x:v>[0.16, 0.9]</x:v>
      </x:c>
      <x:c r="G72" s="59" t="n">
        <x:v>0.74</x:v>
      </x:c>
      <x:c r="H72" s="58" t="str">
        <x:v>No corresponding executed estimate</x:v>
      </x:c>
      <x:c r="I72" s="58" t="str">
        <x:v>Not reported</x:v>
      </x:c>
      <x:c r="J72" s="57" t="n">
        <x:v>2</x:v>
      </x:c>
      <x:c r="K72" s="34" t="n">
        <x:v>0</x:v>
      </x:c>
      <x:c r="L72" s="34" t="n">
        <x:f>J72*K72</x:f>
        <x:v>0</x:v>
      </x:c>
      <x:c r="M72" s="33" t="str">
        <x:v>Not answered</x:v>
      </x:c>
      <x:c r="N72" s="35" t="str">
        <x:v>No scientific computation is reached; no corresponding executed estimate.</x:v>
      </x:c>
    </x:row>
    <x:row r="73" ht="48" customHeight="1">
      <x:c r="A73" s="32" t="str">
        <x:v>FR-0005</x:v>
      </x:c>
      <x:c r="B73" s="33" t="str">
        <x:v>AutoBA</x:v>
      </x:c>
      <x:c r="C73" s="33" t="str">
        <x:v>A31</x:v>
      </x:c>
      <x:c r="D73" s="33" t="str">
        <x:v>SLO: HR for culture-confirmed carriage in the fully adjusted Andersen-Gill model</x:v>
      </x:c>
      <x:c r="E73" s="59" t="n">
        <x:v>0.01</x:v>
      </x:c>
      <x:c r="F73" s="58" t="str">
        <x:v>[0, 0.13]</x:v>
      </x:c>
      <x:c r="G73" s="59" t="n">
        <x:v>0.13</x:v>
      </x:c>
      <x:c r="H73" s="58" t="str">
        <x:v>No corresponding executed estimate</x:v>
      </x:c>
      <x:c r="I73" s="58" t="str">
        <x:v>Not reported</x:v>
      </x:c>
      <x:c r="J73" s="57" t="n">
        <x:v>1</x:v>
      </x:c>
      <x:c r="K73" s="34" t="n">
        <x:v>0</x:v>
      </x:c>
      <x:c r="L73" s="34" t="n">
        <x:f>J73*K73</x:f>
        <x:v>0</x:v>
      </x:c>
      <x:c r="M73" s="33" t="str">
        <x:v>Not answered</x:v>
      </x:c>
      <x:c r="N73" s="35" t="str">
        <x:v>No scientific computation is reached; no corresponding executed estimate.</x:v>
      </x:c>
    </x:row>
    <x:row r="74" ht="48" customHeight="1">
      <x:c r="A74" s="32" t="str">
        <x:v>FR-0005</x:v>
      </x:c>
      <x:c r="B74" s="33" t="str">
        <x:v>AutoBA</x:v>
      </x:c>
      <x:c r="C74" s="33" t="str">
        <x:v>A32</x:v>
      </x:c>
      <x:c r="D74" s="33" t="str">
        <x:v>SpyAD: HR for culture-confirmed carriage in the fully adjusted Andersen-Gill model</x:v>
      </x:c>
      <x:c r="E74" s="59" t="n">
        <x:v>0.18</x:v>
      </x:c>
      <x:c r="F74" s="58" t="str">
        <x:v>[0.08, 0.41]</x:v>
      </x:c>
      <x:c r="G74" s="59" t="n">
        <x:v>0.33</x:v>
      </x:c>
      <x:c r="H74" s="58" t="str">
        <x:v>No corresponding executed estimate</x:v>
      </x:c>
      <x:c r="I74" s="58" t="str">
        <x:v>Not reported</x:v>
      </x:c>
      <x:c r="J74" s="57" t="n">
        <x:v>1</x:v>
      </x:c>
      <x:c r="K74" s="34" t="n">
        <x:v>0</x:v>
      </x:c>
      <x:c r="L74" s="34" t="n">
        <x:f>J74*K74</x:f>
        <x:v>0</x:v>
      </x:c>
      <x:c r="M74" s="33" t="str">
        <x:v>Not answered</x:v>
      </x:c>
      <x:c r="N74" s="35" t="str">
        <x:v>No scientific computation is reached; no corresponding executed estimate.</x:v>
      </x:c>
    </x:row>
    <x:row r="75" ht="48" customHeight="1">
      <x:c r="A75" s="32" t="str">
        <x:v>FR-0005</x:v>
      </x:c>
      <x:c r="B75" s="33" t="str">
        <x:v>AutoBA</x:v>
      </x:c>
      <x:c r="C75" s="33" t="str">
        <x:v>A33</x:v>
      </x:c>
      <x:c r="D75" s="33" t="str">
        <x:v>SpyCEP: HR for culture-confirmed carriage in the fully adjusted Andersen-Gill model</x:v>
      </x:c>
      <x:c r="E75" s="59" t="n">
        <x:v>0.2</x:v>
      </x:c>
      <x:c r="F75" s="58" t="str">
        <x:v>[0.09, 0.49]</x:v>
      </x:c>
      <x:c r="G75" s="59" t="n">
        <x:v>0.4</x:v>
      </x:c>
      <x:c r="H75" s="58" t="str">
        <x:v>No corresponding executed estimate</x:v>
      </x:c>
      <x:c r="I75" s="58" t="str">
        <x:v>Not reported</x:v>
      </x:c>
      <x:c r="J75" s="57" t="n">
        <x:v>1</x:v>
      </x:c>
      <x:c r="K75" s="34" t="n">
        <x:v>0</x:v>
      </x:c>
      <x:c r="L75" s="34" t="n">
        <x:f>J75*K75</x:f>
        <x:v>0</x:v>
      </x:c>
      <x:c r="M75" s="33" t="str">
        <x:v>Not answered</x:v>
      </x:c>
      <x:c r="N75" s="35" t="str">
        <x:v>No scientific computation is reached; no corresponding executed estimate.</x:v>
      </x:c>
    </x:row>
    <x:row r="76" ht="48" customHeight="1">
      <x:c r="A76" s="40" t="str">
        <x:v>FR-0001</x:v>
      </x:c>
      <x:c r="B76" s="41" t="str">
        <x:v>BioMaster</x:v>
      </x:c>
      <x:c r="C76" s="41" t="str">
        <x:v>A01</x:v>
      </x:c>
      <x:c r="D76" s="41" t="str">
        <x:v>Unique participants with CGM data in the public subset</x:v>
      </x:c>
      <x:c r="E76" s="54" t="n">
        <x:v>38</x:v>
      </x:c>
      <x:c r="F76" s="55" t="str">
        <x:v>Not specified</x:v>
      </x:c>
      <x:c r="G76" s="55" t="str">
        <x:v>Exact count</x:v>
      </x:c>
      <x:c r="H76" s="54" t="n">
        <x:v>38</x:v>
      </x:c>
      <x:c r="I76" s="55" t="str">
        <x:v>Not reported</x:v>
      </x:c>
      <x:c r="J76" s="54" t="n">
        <x:v>1</x:v>
      </x:c>
      <x:c r="K76" s="56" t="n">
        <x:v>1</x:v>
      </x:c>
      <x:c r="L76" s="56" t="n">
        <x:f>J76*K76</x:f>
        <x:v>1</x:v>
      </x:c>
      <x:c r="M76" s="41" t="str">
        <x:v>Comparable</x:v>
      </x:c>
      <x:c r="N76" s="41" t="str">
        <x:v>Executed tables/analysis_cohort_flow.csv explicitly reports 38 unique CGM participants; this same count appears in the sample-flow text.</x:v>
      </x:c>
    </x:row>
    <x:row r="77" ht="48" customHeight="1">
      <x:c r="A77" s="32" t="str">
        <x:v>FR-0001</x:v>
      </x:c>
      <x:c r="B77" s="33" t="str">
        <x:v>BioMaster</x:v>
      </x:c>
      <x:c r="C77" s="33" t="str">
        <x:v>A02</x:v>
      </x:c>
      <x:c r="D77" s="33" t="str">
        <x:v>Glucose-response curves for the seven unmitigated standard meals</x:v>
      </x:c>
      <x:c r="E77" s="57" t="n">
        <x:v>393</x:v>
      </x:c>
      <x:c r="F77" s="58" t="str">
        <x:v>Not specified</x:v>
      </x:c>
      <x:c r="G77" s="58" t="str">
        <x:v>Exact count</x:v>
      </x:c>
      <x:c r="H77" s="58" t="str">
        <x:v>No corresponding executed estimate</x:v>
      </x:c>
      <x:c r="I77" s="58" t="str">
        <x:v>Not reported</x:v>
      </x:c>
      <x:c r="J77" s="57" t="n">
        <x:v>1</x:v>
      </x:c>
      <x:c r="K77" s="34" t="n">
        <x:v>0</x:v>
      </x:c>
      <x:c r="L77" s="34" t="n">
        <x:f>J77*K77</x:f>
        <x:v>0</x:v>
      </x:c>
      <x:c r="M77" s="33" t="str">
        <x:v>Not answered</x:v>
      </x:c>
      <x:c r="N77" s="35" t="str">
        <x:v>Execution stops after the input audit; no matching scientific numerical evidence is produced.</x:v>
      </x:c>
    </x:row>
    <x:row r="78" ht="48" customHeight="1">
      <x:c r="A78" s="32" t="str">
        <x:v>FR-0001</x:v>
      </x:c>
      <x:c r="B78" s="33" t="str">
        <x:v>BioMaster</x:v>
      </x:c>
      <x:c r="C78" s="33" t="str">
        <x:v>A03</x:v>
      </x:c>
      <x:c r="D78" s="33" t="str">
        <x:v>Potatoes: Pearson correlation of first versus second peak glucose increment; paired participants, n=21</x:v>
      </x:c>
      <x:c r="E78" s="59" t="n">
        <x:v>0.6909911814</x:v>
      </x:c>
      <x:c r="F78" s="58" t="str">
        <x:v>[0.369533, 0.864735]</x:v>
      </x:c>
      <x:c r="G78" s="59" t="n">
        <x:v>0.4952016496</x:v>
      </x:c>
      <x:c r="H78" s="58" t="str">
        <x:v>No corresponding executed estimate</x:v>
      </x:c>
      <x:c r="I78" s="58" t="str">
        <x:v>Not reported</x:v>
      </x:c>
      <x:c r="J78" s="57" t="n">
        <x:v>1</x:v>
      </x:c>
      <x:c r="K78" s="34" t="n">
        <x:v>0</x:v>
      </x:c>
      <x:c r="L78" s="34" t="n">
        <x:f>J78*K78</x:f>
        <x:v>0</x:v>
      </x:c>
      <x:c r="M78" s="33" t="str">
        <x:v>Not answered</x:v>
      </x:c>
      <x:c r="N78" s="35" t="str">
        <x:v>Execution stops after the input audit; no matching scientific numerical evidence is produced.</x:v>
      </x:c>
    </x:row>
    <x:row r="79" ht="48" customHeight="1">
      <x:c r="A79" s="32" t="str">
        <x:v>FR-0001</x:v>
      </x:c>
      <x:c r="B79" s="33" t="str">
        <x:v>BioMaster</x:v>
      </x:c>
      <x:c r="C79" s="33" t="str">
        <x:v>A04</x:v>
      </x:c>
      <x:c r="D79" s="33" t="str">
        <x:v>Within-participant Rice minus Beans mean peak glucose increment (mg/dL); 21 pairs</x:v>
      </x:c>
      <x:c r="E79" s="59" t="n">
        <x:v>39.2518017663</x:v>
      </x:c>
      <x:c r="F79" s="58" t="str">
        <x:v>[30.6632, 47.8404]</x:v>
      </x:c>
      <x:c r="G79" s="59" t="n">
        <x:v>17.1772122957</x:v>
      </x:c>
      <x:c r="H79" s="58" t="str">
        <x:v>No corresponding executed estimate</x:v>
      </x:c>
      <x:c r="I79" s="58" t="str">
        <x:v>Not reported</x:v>
      </x:c>
      <x:c r="J79" s="57" t="n">
        <x:v>1</x:v>
      </x:c>
      <x:c r="K79" s="34" t="n">
        <x:v>0</x:v>
      </x:c>
      <x:c r="L79" s="34" t="n">
        <x:f>J79*K79</x:f>
        <x:v>0</x:v>
      </x:c>
      <x:c r="M79" s="33" t="str">
        <x:v>Not answered</x:v>
      </x:c>
      <x:c r="N79" s="35" t="str">
        <x:v>Execution stops after the input audit; no matching scientific numerical evidence is produced.</x:v>
      </x:c>
    </x:row>
    <x:row r="80" ht="54" customHeight="1">
      <x:c r="A80" s="32" t="str">
        <x:v>FR-0001</x:v>
      </x:c>
      <x:c r="B80" s="33" t="str">
        <x:v>BioMaster</x:v>
      </x:c>
      <x:c r="C80" s="33" t="str">
        <x:v>A05</x:v>
      </x:c>
      <x:c r="D80" s="33" t="str">
        <x:v>Potatoes: participant-mean peak increment, insulin-resistant minus insulin-sensitive (mg/dL); SSPG groups, n=14 versus 17</x:v>
      </x:c>
      <x:c r="E80" s="59" t="n">
        <x:v>22.9003192008</x:v>
      </x:c>
      <x:c r="F80" s="58" t="str">
        <x:v>[4.76207, 41.0386]</x:v>
      </x:c>
      <x:c r="G80" s="59" t="n">
        <x:v>36.2764959992</x:v>
      </x:c>
      <x:c r="H80" s="58" t="str">
        <x:v>No corresponding executed estimate</x:v>
      </x:c>
      <x:c r="I80" s="58" t="str">
        <x:v>Not reported</x:v>
      </x:c>
      <x:c r="J80" s="57" t="n">
        <x:v>2</x:v>
      </x:c>
      <x:c r="K80" s="34" t="n">
        <x:v>0</x:v>
      </x:c>
      <x:c r="L80" s="34" t="n">
        <x:f>J80*K80</x:f>
        <x:v>0</x:v>
      </x:c>
      <x:c r="M80" s="33" t="str">
        <x:v>Not answered</x:v>
      </x:c>
      <x:c r="N80" s="35" t="str">
        <x:v>Execution stops after the input audit; no matching scientific numerical evidence is produced.</x:v>
      </x:c>
    </x:row>
    <x:row r="81" ht="54" customHeight="1">
      <x:c r="A81" s="32" t="str">
        <x:v>FR-0001</x:v>
      </x:c>
      <x:c r="B81" s="33" t="str">
        <x:v>BioMaster</x:v>
      </x:c>
      <x:c r="C81" s="33" t="str">
        <x:v>A06</x:v>
      </x:c>
      <x:c r="D81" s="33" t="str">
        <x:v>Potatoes: OLS coefficient of insulin resistance for peak increment (mg/dL), adjusted for BMI, age and sex; n=29</x:v>
      </x:c>
      <x:c r="E81" s="59" t="n">
        <x:v>38.9480203973</x:v>
      </x:c>
      <x:c r="F81" s="58" t="str">
        <x:v>[17.4817, 60.4144]</x:v>
      </x:c>
      <x:c r="G81" s="59" t="n">
        <x:v>42.93273471</x:v>
      </x:c>
      <x:c r="H81" s="58" t="str">
        <x:v>No corresponding executed estimate</x:v>
      </x:c>
      <x:c r="I81" s="58" t="str">
        <x:v>Not reported</x:v>
      </x:c>
      <x:c r="J81" s="57" t="n">
        <x:v>2</x:v>
      </x:c>
      <x:c r="K81" s="34" t="n">
        <x:v>0</x:v>
      </x:c>
      <x:c r="L81" s="34" t="n">
        <x:f>J81*K81</x:f>
        <x:v>0</x:v>
      </x:c>
      <x:c r="M81" s="33" t="str">
        <x:v>Not answered</x:v>
      </x:c>
      <x:c r="N81" s="35" t="str">
        <x:v>Execution stops after the input audit; no matching scientific numerical evidence is produced.</x:v>
      </x:c>
    </x:row>
    <x:row r="82" ht="54" customHeight="1">
      <x:c r="A82" s="32" t="str">
        <x:v>FR-0001</x:v>
      </x:c>
      <x:c r="B82" s="33" t="str">
        <x:v>BioMaster</x:v>
      </x:c>
      <x:c r="C82" s="33" t="str">
        <x:v>A07</x:v>
      </x:c>
      <x:c r="D82" s="33" t="str">
        <x:v>Pasta: participant-mean peak increment, insulin-resistant minus insulin-sensitive (mg/dL); n=13 versus 9</x:v>
      </x:c>
      <x:c r="E82" s="59" t="n">
        <x:v>19.7260427339</x:v>
      </x:c>
      <x:c r="F82" s="58" t="str">
        <x:v>[-0.461107, 39.9132]</x:v>
      </x:c>
      <x:c r="G82" s="59" t="n">
        <x:v>40.3742991893</x:v>
      </x:c>
      <x:c r="H82" s="58" t="str">
        <x:v>No corresponding executed estimate</x:v>
      </x:c>
      <x:c r="I82" s="58" t="str">
        <x:v>Not reported</x:v>
      </x:c>
      <x:c r="J82" s="57" t="n">
        <x:v>1</x:v>
      </x:c>
      <x:c r="K82" s="34" t="n">
        <x:v>0</x:v>
      </x:c>
      <x:c r="L82" s="34" t="n">
        <x:f>J82*K82</x:f>
        <x:v>0</x:v>
      </x:c>
      <x:c r="M82" s="33" t="str">
        <x:v>Not answered</x:v>
      </x:c>
      <x:c r="N82" s="35" t="str">
        <x:v>Execution stops after the input audit; no matching scientific numerical evidence is produced.</x:v>
      </x:c>
    </x:row>
    <x:row r="83" ht="54" customHeight="1">
      <x:c r="A83" s="32" t="str">
        <x:v>FR-0001</x:v>
      </x:c>
      <x:c r="B83" s="33" t="str">
        <x:v>BioMaster</x:v>
      </x:c>
      <x:c r="C83" s="33" t="str">
        <x:v>A08</x:v>
      </x:c>
      <x:c r="D83" s="33" t="str">
        <x:v>Potatoes: participant-mean peak increment, dysfunctional minus normal beta-cell function (mg/dL); DI groups, n=11 versus 8</x:v>
      </x:c>
      <x:c r="E83" s="59" t="n">
        <x:v>26.7850824792</x:v>
      </x:c>
      <x:c r="F83" s="58" t="str">
        <x:v>[5.73288, 47.8373]</x:v>
      </x:c>
      <x:c r="G83" s="59" t="n">
        <x:v>42.1044051555</x:v>
      </x:c>
      <x:c r="H83" s="58" t="str">
        <x:v>No corresponding executed estimate</x:v>
      </x:c>
      <x:c r="I83" s="58" t="str">
        <x:v>Not reported</x:v>
      </x:c>
      <x:c r="J83" s="57" t="n">
        <x:v>2</x:v>
      </x:c>
      <x:c r="K83" s="34" t="n">
        <x:v>0</x:v>
      </x:c>
      <x:c r="L83" s="34" t="n">
        <x:f>J83*K83</x:f>
        <x:v>0</x:v>
      </x:c>
      <x:c r="M83" s="33" t="str">
        <x:v>Not answered</x:v>
      </x:c>
      <x:c r="N83" s="35" t="str">
        <x:v>Execution stops after the input audit; no matching scientific numerical evidence is produced.</x:v>
      </x:c>
    </x:row>
    <x:row r="84" ht="48" customHeight="1">
      <x:c r="A84" s="32" t="str">
        <x:v>FR-0001</x:v>
      </x:c>
      <x:c r="B84" s="33" t="str">
        <x:v>BioMaster</x:v>
      </x:c>
      <x:c r="C84" s="33" t="str">
        <x:v>A09</x:v>
      </x:c>
      <x:c r="D84" s="33" t="str">
        <x:v>Spearman correlation between participant-level Potatoes/Grapes peak-increment ratio and SSPG; n=31</x:v>
      </x:c>
      <x:c r="E84" s="59" t="n">
        <x:v>0.6728500891</x:v>
      </x:c>
      <x:c r="F84" s="58" t="str">
        <x:v>[0.40884, 0.802562]</x:v>
      </x:c>
      <x:c r="G84" s="59" t="n">
        <x:v>0.3937219199</x:v>
      </x:c>
      <x:c r="H84" s="58" t="str">
        <x:v>No corresponding executed estimate</x:v>
      </x:c>
      <x:c r="I84" s="58" t="str">
        <x:v>Not reported</x:v>
      </x:c>
      <x:c r="J84" s="57" t="n">
        <x:v>2</x:v>
      </x:c>
      <x:c r="K84" s="34" t="n">
        <x:v>0</x:v>
      </x:c>
      <x:c r="L84" s="34" t="n">
        <x:f>J84*K84</x:f>
        <x:v>0</x:v>
      </x:c>
      <x:c r="M84" s="33" t="str">
        <x:v>Not answered</x:v>
      </x:c>
      <x:c r="N84" s="35" t="str">
        <x:v>Execution stops after the input audit; no matching scientific numerical evidence is produced.</x:v>
      </x:c>
    </x:row>
    <x:row r="85" ht="54" customHeight="1">
      <x:c r="A85" s="40" t="str">
        <x:v>FR-0002</x:v>
      </x:c>
      <x:c r="B85" s="41" t="str">
        <x:v>BioMaster</x:v>
      </x:c>
      <x:c r="C85" s="41" t="str">
        <x:v>A1</x:v>
      </x:c>
      <x:c r="D85" s="41" t="str">
        <x:v>Participants with analyzable DNA sequencing</x:v>
      </x:c>
      <x:c r="E85" s="54" t="n">
        <x:v>89</x:v>
      </x:c>
      <x:c r="F85" s="55" t="str">
        <x:v>Not specified</x:v>
      </x:c>
      <x:c r="G85" s="54" t="n">
        <x:v>0</x:v>
      </x:c>
      <x:c r="H85" s="55" t="str">
        <x:v>No corresponding executed estimate</x:v>
      </x:c>
      <x:c r="I85" s="55" t="str">
        <x:v>Not reported</x:v>
      </x:c>
      <x:c r="J85" s="54" t="n">
        <x:v>1</x:v>
      </x:c>
      <x:c r="K85" s="56" t="n">
        <x:v>0</x:v>
      </x:c>
      <x:c r="L85" s="56" t="n">
        <x:f>J85*K85</x:f>
        <x:v>0</x:v>
      </x:c>
      <x:c r="M85" s="41" t="str">
        <x:v>Not answered</x:v>
      </x:c>
      <x:c r="N85" s="41" t="str">
        <x:v>Only input audit and stratified sample-flow counts execute; no matching assay-wide participant/sample count or scientific estimate is explicitly produced. No evaluator-created aggregation is credited.</x:v>
      </x:c>
    </x:row>
    <x:row r="86" ht="54" customHeight="1">
      <x:c r="A86" s="32" t="str">
        <x:v>FR-0002</x:v>
      </x:c>
      <x:c r="B86" s="33" t="str">
        <x:v>BioMaster</x:v>
      </x:c>
      <x:c r="C86" s="33" t="str">
        <x:v>A2</x:v>
      </x:c>
      <x:c r="D86" s="33" t="str">
        <x:v>DNA sequencing samples across both study arms and visits</x:v>
      </x:c>
      <x:c r="E86" s="57" t="n">
        <x:v>127</x:v>
      </x:c>
      <x:c r="F86" s="58" t="str">
        <x:v>Not specified</x:v>
      </x:c>
      <x:c r="G86" s="57" t="n">
        <x:v>0</x:v>
      </x:c>
      <x:c r="H86" s="58" t="str">
        <x:v>No corresponding executed estimate</x:v>
      </x:c>
      <x:c r="I86" s="58" t="str">
        <x:v>Not reported</x:v>
      </x:c>
      <x:c r="J86" s="57" t="n">
        <x:v>1</x:v>
      </x:c>
      <x:c r="K86" s="34" t="n">
        <x:v>0</x:v>
      </x:c>
      <x:c r="L86" s="34" t="n">
        <x:f>J86*K86</x:f>
        <x:v>0</x:v>
      </x:c>
      <x:c r="M86" s="33" t="str">
        <x:v>Not answered</x:v>
      </x:c>
      <x:c r="N86" s="35" t="str">
        <x:v>Only input audit and stratified sample-flow counts execute; no matching assay-wide participant/sample count or scientific estimate is explicitly produced. No evaluator-created aggregation is credited.</x:v>
      </x:c>
    </x:row>
    <x:row r="87" ht="54" customHeight="1">
      <x:c r="A87" s="32" t="str">
        <x:v>FR-0002</x:v>
      </x:c>
      <x:c r="B87" s="33" t="str">
        <x:v>BioMaster</x:v>
      </x:c>
      <x:c r="C87" s="33" t="str">
        <x:v>A3</x:v>
      </x:c>
      <x:c r="D87" s="33" t="str">
        <x:v>Participants with analyzable RNA sequencing</x:v>
      </x:c>
      <x:c r="E87" s="57" t="n">
        <x:v>70</x:v>
      </x:c>
      <x:c r="F87" s="58" t="str">
        <x:v>Not specified</x:v>
      </x:c>
      <x:c r="G87" s="57" t="n">
        <x:v>0</x:v>
      </x:c>
      <x:c r="H87" s="58" t="str">
        <x:v>No corresponding executed estimate</x:v>
      </x:c>
      <x:c r="I87" s="58" t="str">
        <x:v>Not reported</x:v>
      </x:c>
      <x:c r="J87" s="57" t="n">
        <x:v>1</x:v>
      </x:c>
      <x:c r="K87" s="34" t="n">
        <x:v>0</x:v>
      </x:c>
      <x:c r="L87" s="34" t="n">
        <x:f>J87*K87</x:f>
        <x:v>0</x:v>
      </x:c>
      <x:c r="M87" s="33" t="str">
        <x:v>Not answered</x:v>
      </x:c>
      <x:c r="N87" s="35" t="str">
        <x:v>Only input audit and stratified sample-flow counts execute; no matching assay-wide participant/sample count or scientific estimate is explicitly produced. No evaluator-created aggregation is credited.</x:v>
      </x:c>
    </x:row>
    <x:row r="88" ht="54" customHeight="1">
      <x:c r="A88" s="32" t="str">
        <x:v>FR-0002</x:v>
      </x:c>
      <x:c r="B88" s="33" t="str">
        <x:v>BioMaster</x:v>
      </x:c>
      <x:c r="C88" s="33" t="str">
        <x:v>A4</x:v>
      </x:c>
      <x:c r="D88" s="33" t="str">
        <x:v>RNA sequencing samples across both study arms and visits</x:v>
      </x:c>
      <x:c r="E88" s="57" t="n">
        <x:v>86</x:v>
      </x:c>
      <x:c r="F88" s="58" t="str">
        <x:v>Not specified</x:v>
      </x:c>
      <x:c r="G88" s="57" t="n">
        <x:v>0</x:v>
      </x:c>
      <x:c r="H88" s="58" t="str">
        <x:v>No corresponding executed estimate</x:v>
      </x:c>
      <x:c r="I88" s="58" t="str">
        <x:v>Not reported</x:v>
      </x:c>
      <x:c r="J88" s="57" t="n">
        <x:v>1</x:v>
      </x:c>
      <x:c r="K88" s="34" t="n">
        <x:v>0</x:v>
      </x:c>
      <x:c r="L88" s="34" t="n">
        <x:f>J88*K88</x:f>
        <x:v>0</x:v>
      </x:c>
      <x:c r="M88" s="33" t="str">
        <x:v>Not answered</x:v>
      </x:c>
      <x:c r="N88" s="35" t="str">
        <x:v>Only input audit and stratified sample-flow counts execute; no matching assay-wide participant/sample count or scientific estimate is explicitly produced. No evaluator-created aggregation is credited.</x:v>
      </x:c>
    </x:row>
    <x:row r="89" ht="54" customHeight="1">
      <x:c r="A89" s="32" t="str">
        <x:v>FR-0002</x:v>
      </x:c>
      <x:c r="B89" s="33" t="str">
        <x:v>BioMaster</x:v>
      </x:c>
      <x:c r="C89" s="33" t="str">
        <x:v>A5</x:v>
      </x:c>
      <x:c r="D89" s="33" t="str">
        <x:v>Distinct tetracycline ARGs detected across all day-0 DNA samples</x:v>
      </x:c>
      <x:c r="E89" s="57" t="n">
        <x:v>41</x:v>
      </x:c>
      <x:c r="F89" s="58" t="str">
        <x:v>Not specified</x:v>
      </x:c>
      <x:c r="G89" s="57" t="n">
        <x:v>5</x:v>
      </x:c>
      <x:c r="H89" s="58" t="str">
        <x:v>No corresponding executed estimate</x:v>
      </x:c>
      <x:c r="I89" s="58" t="str">
        <x:v>Not reported</x:v>
      </x:c>
      <x:c r="J89" s="57" t="n">
        <x:v>1</x:v>
      </x:c>
      <x:c r="K89" s="34" t="n">
        <x:v>0</x:v>
      </x:c>
      <x:c r="L89" s="34" t="n">
        <x:f>J89*K89</x:f>
        <x:v>0</x:v>
      </x:c>
      <x:c r="M89" s="33" t="str">
        <x:v>Not answered</x:v>
      </x:c>
      <x:c r="N89" s="35" t="str">
        <x:v>Only input audit and stratified sample-flow counts execute; no matching assay-wide participant/sample count or scientific estimate is explicitly produced. No evaluator-created aggregation is credited.</x:v>
      </x:c>
    </x:row>
    <x:row r="90" ht="54" customHeight="1">
      <x:c r="A90" s="32" t="str">
        <x:v>FR-0002</x:v>
      </x:c>
      <x:c r="B90" s="33" t="str">
        <x:v>BioMaster</x:v>
      </x:c>
      <x:c r="C90" s="33" t="str">
        <x:v>A6</x:v>
      </x:c>
      <x:c r="D90" s="33" t="str">
        <x:v>Distinct tetracycline ARGs detected across all day-0 RNA samples</x:v>
      </x:c>
      <x:c r="E90" s="57" t="n">
        <x:v>17</x:v>
      </x:c>
      <x:c r="F90" s="58" t="str">
        <x:v>Not specified</x:v>
      </x:c>
      <x:c r="G90" s="57" t="n">
        <x:v>4</x:v>
      </x:c>
      <x:c r="H90" s="58" t="str">
        <x:v>No corresponding executed estimate</x:v>
      </x:c>
      <x:c r="I90" s="58" t="str">
        <x:v>Not reported</x:v>
      </x:c>
      <x:c r="J90" s="57" t="n">
        <x:v>1</x:v>
      </x:c>
      <x:c r="K90" s="34" t="n">
        <x:v>0</x:v>
      </x:c>
      <x:c r="L90" s="34" t="n">
        <x:f>J90*K90</x:f>
        <x:v>0</x:v>
      </x:c>
      <x:c r="M90" s="33" t="str">
        <x:v>Not answered</x:v>
      </x:c>
      <x:c r="N90" s="35" t="str">
        <x:v>Only input audit and stratified sample-flow counts execute; no matching assay-wide participant/sample count or scientific estimate is explicitly produced. No evaluator-created aggregation is credited.</x:v>
      </x:c>
    </x:row>
    <x:row r="91" ht="54" customHeight="1">
      <x:c r="A91" s="32" t="str">
        <x:v>FR-0002</x:v>
      </x:c>
      <x:c r="B91" s="33" t="str">
        <x:v>BioMaster</x:v>
      </x:c>
      <x:c r="C91" s="33" t="str">
        <x:v>A7</x:v>
      </x:c>
      <x:c r="D91" s="33" t="str">
        <x:v>Day-0 DNA samples with at least one tetracycline ARG; proportion, 58/58</x:v>
      </x:c>
      <x:c r="E91" s="57" t="n">
        <x:v>1</x:v>
      </x:c>
      <x:c r="F91" s="58" t="str">
        <x:v>Not specified</x:v>
      </x:c>
      <x:c r="G91" s="59" t="n">
        <x:v>0.05</x:v>
      </x:c>
      <x:c r="H91" s="58" t="str">
        <x:v>No corresponding executed estimate</x:v>
      </x:c>
      <x:c r="I91" s="58" t="str">
        <x:v>Not reported</x:v>
      </x:c>
      <x:c r="J91" s="57" t="n">
        <x:v>1</x:v>
      </x:c>
      <x:c r="K91" s="34" t="n">
        <x:v>0</x:v>
      </x:c>
      <x:c r="L91" s="34" t="n">
        <x:f>J91*K91</x:f>
        <x:v>0</x:v>
      </x:c>
      <x:c r="M91" s="33" t="str">
        <x:v>Not answered</x:v>
      </x:c>
      <x:c r="N91" s="35" t="str">
        <x:v>Only input audit and stratified sample-flow counts execute; no matching assay-wide participant/sample count or scientific estimate is explicitly produced. No evaluator-created aggregation is credited.</x:v>
      </x:c>
    </x:row>
    <x:row r="92" ht="54" customHeight="1">
      <x:c r="A92" s="32" t="str">
        <x:v>FR-0002</x:v>
      </x:c>
      <x:c r="B92" s="33" t="str">
        <x:v>BioMaster</x:v>
      </x:c>
      <x:c r="C92" s="33" t="str">
        <x:v>A8</x:v>
      </x:c>
      <x:c r="D92" s="33" t="str">
        <x:v>Day-0 RNA samples with at least one tetracycline ARG; proportion, 22/26</x:v>
      </x:c>
      <x:c r="E92" s="59" t="n">
        <x:v>0.85</x:v>
      </x:c>
      <x:c r="F92" s="58" t="str">
        <x:v>Not specified</x:v>
      </x:c>
      <x:c r="G92" s="59" t="n">
        <x:v>0.1</x:v>
      </x:c>
      <x:c r="H92" s="58" t="str">
        <x:v>No corresponding executed estimate</x:v>
      </x:c>
      <x:c r="I92" s="58" t="str">
        <x:v>Not reported</x:v>
      </x:c>
      <x:c r="J92" s="57" t="n">
        <x:v>1</x:v>
      </x:c>
      <x:c r="K92" s="34" t="n">
        <x:v>0</x:v>
      </x:c>
      <x:c r="L92" s="34" t="n">
        <x:f>J92*K92</x:f>
        <x:v>0</x:v>
      </x:c>
      <x:c r="M92" s="33" t="str">
        <x:v>Not answered</x:v>
      </x:c>
      <x:c r="N92" s="35" t="str">
        <x:v>Only input audit and stratified sample-flow counts execute; no matching assay-wide participant/sample count or scientific estimate is explicitly produced. No evaluator-created aggregation is credited.</x:v>
      </x:c>
    </x:row>
    <x:row r="93" ht="67.5" customHeight="1">
      <x:c r="A93" s="32" t="str">
        <x:v>FR-0002</x:v>
      </x:c>
      <x:c r="B93" s="33" t="str">
        <x:v>BioMaster</x:v>
      </x:c>
      <x:c r="C93" s="33" t="str">
        <x:v>A9</x:v>
      </x:c>
      <x:c r="D93" s="33" t="str">
        <x:v>Within doxy-PEP: month 6 versus day 0 coefficient for DNA tetracycline ARG mass proportion; zero/one-inflated beta model, logit mu, adjusted for HIV and cephalosporin days</x:v>
      </x:c>
      <x:c r="E93" s="59" t="n">
        <x:v>0.45</x:v>
      </x:c>
      <x:c r="F93" s="58" t="str">
        <x:v>[0.19, 0.7]</x:v>
      </x:c>
      <x:c r="G93" s="59" t="n">
        <x:v>0.51</x:v>
      </x:c>
      <x:c r="H93" s="58" t="str">
        <x:v>No corresponding executed estimate</x:v>
      </x:c>
      <x:c r="I93" s="58" t="str">
        <x:v>Not reported</x:v>
      </x:c>
      <x:c r="J93" s="57" t="n">
        <x:v>2</x:v>
      </x:c>
      <x:c r="K93" s="34" t="n">
        <x:v>0</x:v>
      </x:c>
      <x:c r="L93" s="34" t="n">
        <x:f>J93*K93</x:f>
        <x:v>0</x:v>
      </x:c>
      <x:c r="M93" s="33" t="str">
        <x:v>Not answered</x:v>
      </x:c>
      <x:c r="N93" s="35" t="str">
        <x:v>Only input audit and stratified sample-flow counts execute; no matching assay-wide participant/sample count or scientific estimate is explicitly produced. No evaluator-created aggregation is credited.</x:v>
      </x:c>
    </x:row>
    <x:row r="94" ht="67.5" customHeight="1">
      <x:c r="A94" s="32" t="str">
        <x:v>FR-0002</x:v>
      </x:c>
      <x:c r="B94" s="33" t="str">
        <x:v>BioMaster</x:v>
      </x:c>
      <x:c r="C94" s="33" t="str">
        <x:v>A10</x:v>
      </x:c>
      <x:c r="D94" s="33" t="str">
        <x:v>Within doxy-PEP: month 6 versus day 0 coefficient for RNA tetracycline ARG expression-mass proportion; zero/one-inflated beta model, logit mu, adjusted for HIV and cephalosporin days</x:v>
      </x:c>
      <x:c r="E94" s="59" t="n">
        <x:v>1.5</x:v>
      </x:c>
      <x:c r="F94" s="58" t="str">
        <x:v>[0.94, 2]</x:v>
      </x:c>
      <x:c r="G94" s="59" t="n">
        <x:v>1.06</x:v>
      </x:c>
      <x:c r="H94" s="58" t="str">
        <x:v>No corresponding executed estimate</x:v>
      </x:c>
      <x:c r="I94" s="58" t="str">
        <x:v>Not reported</x:v>
      </x:c>
      <x:c r="J94" s="57" t="n">
        <x:v>2</x:v>
      </x:c>
      <x:c r="K94" s="34" t="n">
        <x:v>0</x:v>
      </x:c>
      <x:c r="L94" s="34" t="n">
        <x:f>J94*K94</x:f>
        <x:v>0</x:v>
      </x:c>
      <x:c r="M94" s="33" t="str">
        <x:v>Not answered</x:v>
      </x:c>
      <x:c r="N94" s="35" t="str">
        <x:v>Only input audit and stratified sample-flow counts execute; no matching assay-wide participant/sample count or scientific estimate is explicitly produced. No evaluator-created aggregation is credited.</x:v>
      </x:c>
    </x:row>
    <x:row r="95" ht="67.5" customHeight="1">
      <x:c r="A95" s="32" t="str">
        <x:v>FR-0002</x:v>
      </x:c>
      <x:c r="B95" s="33" t="str">
        <x:v>BioMaster</x:v>
      </x:c>
      <x:c r="C95" s="33" t="str">
        <x:v>A11</x:v>
      </x:c>
      <x:c r="D95" s="33" t="str">
        <x:v>Within doxy-PEP: month 6 versus day 0 coefficient for RNA MLS ARG expression-mass proportion; zero/one-inflated beta model, logit mu, adjusted for HIV and cephalosporin days</x:v>
      </x:c>
      <x:c r="E95" s="59" t="n">
        <x:v>-0.76</x:v>
      </x:c>
      <x:c r="F95" s="58" t="str">
        <x:v>[-1.37, -0.15]</x:v>
      </x:c>
      <x:c r="G95" s="59" t="n">
        <x:v>1.22</x:v>
      </x:c>
      <x:c r="H95" s="58" t="str">
        <x:v>No corresponding executed estimate</x:v>
      </x:c>
      <x:c r="I95" s="58" t="str">
        <x:v>Not reported</x:v>
      </x:c>
      <x:c r="J95" s="57" t="n">
        <x:v>1</x:v>
      </x:c>
      <x:c r="K95" s="34" t="n">
        <x:v>0</x:v>
      </x:c>
      <x:c r="L95" s="34" t="n">
        <x:f>J95*K95</x:f>
        <x:v>0</x:v>
      </x:c>
      <x:c r="M95" s="33" t="str">
        <x:v>Not answered</x:v>
      </x:c>
      <x:c r="N95" s="35" t="str">
        <x:v>Only input audit and stratified sample-flow counts execute; no matching assay-wide participant/sample count or scientific estimate is explicitly produced. No evaluator-created aggregation is credited.</x:v>
      </x:c>
    </x:row>
    <x:row r="96" ht="54" customHeight="1">
      <x:c r="A96" s="32" t="str">
        <x:v>FR-0002</x:v>
      </x:c>
      <x:c r="B96" s="33" t="str">
        <x:v>BioMaster</x:v>
      </x:c>
      <x:c r="C96" s="33" t="str">
        <x:v>A12</x:v>
      </x:c>
      <x:c r="D96" s="33" t="str">
        <x:v>All DNA samples: Spearman correlation of four cumulative doxycycline-dose categories with tetracycline ARG mass proportion</x:v>
      </x:c>
      <x:c r="E96" s="59" t="n">
        <x:v>0.23</x:v>
      </x:c>
      <x:c r="F96" s="58" t="str">
        <x:v>Not specified</x:v>
      </x:c>
      <x:c r="G96" s="59" t="n">
        <x:v>0.1</x:v>
      </x:c>
      <x:c r="H96" s="58" t="str">
        <x:v>No corresponding executed estimate</x:v>
      </x:c>
      <x:c r="I96" s="58" t="str">
        <x:v>Not reported</x:v>
      </x:c>
      <x:c r="J96" s="57" t="n">
        <x:v>1</x:v>
      </x:c>
      <x:c r="K96" s="34" t="n">
        <x:v>0</x:v>
      </x:c>
      <x:c r="L96" s="34" t="n">
        <x:f>J96*K96</x:f>
        <x:v>0</x:v>
      </x:c>
      <x:c r="M96" s="33" t="str">
        <x:v>Not answered</x:v>
      </x:c>
      <x:c r="N96" s="35" t="str">
        <x:v>Only input audit and stratified sample-flow counts execute; no matching assay-wide participant/sample count or scientific estimate is explicitly produced. No evaluator-created aggregation is credited.</x:v>
      </x:c>
    </x:row>
    <x:row r="97" ht="54" customHeight="1">
      <x:c r="A97" s="32" t="str">
        <x:v>FR-0002</x:v>
      </x:c>
      <x:c r="B97" s="33" t="str">
        <x:v>BioMaster</x:v>
      </x:c>
      <x:c r="C97" s="33" t="str">
        <x:v>A13</x:v>
      </x:c>
      <x:c r="D97" s="33" t="str">
        <x:v>All RNA samples: Spearman correlation of four cumulative doxycycline-dose categories with expressed tetracycline ARG richness</x:v>
      </x:c>
      <x:c r="E97" s="59" t="n">
        <x:v>0.39</x:v>
      </x:c>
      <x:c r="F97" s="58" t="str">
        <x:v>Not specified</x:v>
      </x:c>
      <x:c r="G97" s="59" t="n">
        <x:v>0.15</x:v>
      </x:c>
      <x:c r="H97" s="58" t="str">
        <x:v>No corresponding executed estimate</x:v>
      </x:c>
      <x:c r="I97" s="58" t="str">
        <x:v>Not reported</x:v>
      </x:c>
      <x:c r="J97" s="57" t="n">
        <x:v>1</x:v>
      </x:c>
      <x:c r="K97" s="34" t="n">
        <x:v>0</x:v>
      </x:c>
      <x:c r="L97" s="34" t="n">
        <x:f>J97*K97</x:f>
        <x:v>0</x:v>
      </x:c>
      <x:c r="M97" s="33" t="str">
        <x:v>Not answered</x:v>
      </x:c>
      <x:c r="N97" s="35" t="str">
        <x:v>Only input audit and stratified sample-flow counts execute; no matching assay-wide participant/sample count or scientific estimate is explicitly produced. No evaluator-created aggregation is credited.</x:v>
      </x:c>
    </x:row>
    <x:row r="98" ht="54" customHeight="1">
      <x:c r="A98" s="32" t="str">
        <x:v>FR-0002</x:v>
      </x:c>
      <x:c r="B98" s="33" t="str">
        <x:v>BioMaster</x:v>
      </x:c>
      <x:c r="C98" s="33" t="str">
        <x:v>A14</x:v>
      </x:c>
      <x:c r="D98" s="33" t="str">
        <x:v>All RNA samples: Spearman correlation of four cumulative doxycycline-dose categories with expressed tetracycline ARG mass proportion</x:v>
      </x:c>
      <x:c r="E98" s="59" t="n">
        <x:v>0.55</x:v>
      </x:c>
      <x:c r="F98" s="58" t="str">
        <x:v>Not specified</x:v>
      </x:c>
      <x:c r="G98" s="59" t="n">
        <x:v>0.15</x:v>
      </x:c>
      <x:c r="H98" s="58" t="str">
        <x:v>No corresponding executed estimate</x:v>
      </x:c>
      <x:c r="I98" s="58" t="str">
        <x:v>Not reported</x:v>
      </x:c>
      <x:c r="J98" s="57" t="n">
        <x:v>1</x:v>
      </x:c>
      <x:c r="K98" s="34" t="n">
        <x:v>0</x:v>
      </x:c>
      <x:c r="L98" s="34" t="n">
        <x:f>J98*K98</x:f>
        <x:v>0</x:v>
      </x:c>
      <x:c r="M98" s="33" t="str">
        <x:v>Not answered</x:v>
      </x:c>
      <x:c r="N98" s="35" t="str">
        <x:v>Only input audit and stratified sample-flow counts execute; no matching assay-wide participant/sample count or scientific estimate is explicitly produced. No evaluator-created aggregation is credited.</x:v>
      </x:c>
    </x:row>
    <x:row r="99" ht="48" customHeight="1">
      <x:c r="A99" s="40" t="str">
        <x:v>FR-0003</x:v>
      </x:c>
      <x:c r="B99" s="41" t="str">
        <x:v>BioMaster</x:v>
      </x:c>
      <x:c r="C99" s="41" t="str">
        <x:v>A01</x:v>
      </x:c>
      <x:c r="D99" s="41" t="str">
        <x:v>Participants with all three target biopsies (baseline, weeks 24 and 52), both randomized arms</x:v>
      </x:c>
      <x:c r="E99" s="54" t="n">
        <x:v>20</x:v>
      </x:c>
      <x:c r="F99" s="55" t="str">
        <x:v>Not specified</x:v>
      </x:c>
      <x:c r="G99" s="54" t="n">
        <x:v>0</x:v>
      </x:c>
      <x:c r="H99" s="55" t="str">
        <x:v>No corresponding executed estimate</x:v>
      </x:c>
      <x:c r="I99" s="55" t="str">
        <x:v>Not reported</x:v>
      </x:c>
      <x:c r="J99" s="54" t="n">
        <x:v>1</x:v>
      </x:c>
      <x:c r="K99" s="56" t="n">
        <x:v>0</x:v>
      </x:c>
      <x:c r="L99" s="56" t="n">
        <x:f>J99*K99</x:f>
        <x:v>0</x:v>
      </x:c>
      <x:c r="M99" s="41" t="str">
        <x:v>Not answered</x:v>
      </x:c>
      <x:c r="N99" s="41" t="str">
        <x:v>Only data inventory/cohort audit and expression QC execute. No reference complete-cohort count or scientific treatment effect is produced.</x:v>
      </x:c>
    </x:row>
    <x:row r="100" ht="48" customHeight="1">
      <x:c r="A100" s="32" t="str">
        <x:v>FR-0003</x:v>
      </x:c>
      <x:c r="B100" s="33" t="str">
        <x:v>BioMaster</x:v>
      </x:c>
      <x:c r="C100" s="33" t="str">
        <x:v>A02</x:v>
      </x:c>
      <x:c r="D100" s="33" t="str">
        <x:v>Biopsies from the 20 participants with all three target visits</x:v>
      </x:c>
      <x:c r="E100" s="57" t="n">
        <x:v>60</x:v>
      </x:c>
      <x:c r="F100" s="58" t="str">
        <x:v>Not specified</x:v>
      </x:c>
      <x:c r="G100" s="57" t="n">
        <x:v>0</x:v>
      </x:c>
      <x:c r="H100" s="58" t="str">
        <x:v>No corresponding executed estimate</x:v>
      </x:c>
      <x:c r="I100" s="58" t="str">
        <x:v>Not reported</x:v>
      </x:c>
      <x:c r="J100" s="57" t="n">
        <x:v>1</x:v>
      </x:c>
      <x:c r="K100" s="34" t="n">
        <x:v>0</x:v>
      </x:c>
      <x:c r="L100" s="34" t="n">
        <x:f>J100*K100</x:f>
        <x:v>0</x:v>
      </x:c>
      <x:c r="M100" s="33" t="str">
        <x:v>Not answered</x:v>
      </x:c>
      <x:c r="N100" s="35" t="str">
        <x:v>Only data inventory/cohort audit and expression QC execute. No reference complete-cohort count or scientific treatment effect is produced.</x:v>
      </x:c>
    </x:row>
    <x:row r="101" ht="54" customHeight="1">
      <x:c r="A101" s="32" t="str">
        <x:v>FR-0003</x:v>
      </x:c>
      <x:c r="B101" s="33" t="str">
        <x:v>BioMaster</x:v>
      </x:c>
      <x:c r="C101" s="33" t="str">
        <x:v>A03</x:v>
      </x:c>
      <x:c r="D101" s="33" t="str">
        <x:v>ABMR probability: felzartamab minus placebo difference in group-median change from baseline to week 24, native scale</x:v>
      </x:c>
      <x:c r="E101" s="59" t="n">
        <x:v>-0.67</x:v>
      </x:c>
      <x:c r="F101" s="58" t="str">
        <x:v>Not specified</x:v>
      </x:c>
      <x:c r="G101" s="59" t="n">
        <x:v>0.35</x:v>
      </x:c>
      <x:c r="H101" s="58" t="str">
        <x:v>No corresponding executed estimate</x:v>
      </x:c>
      <x:c r="I101" s="58" t="str">
        <x:v>Not reported</x:v>
      </x:c>
      <x:c r="J101" s="57" t="n">
        <x:v>2</x:v>
      </x:c>
      <x:c r="K101" s="34" t="n">
        <x:v>0</x:v>
      </x:c>
      <x:c r="L101" s="34" t="n">
        <x:f>J101*K101</x:f>
        <x:v>0</x:v>
      </x:c>
      <x:c r="M101" s="33" t="str">
        <x:v>Not answered</x:v>
      </x:c>
      <x:c r="N101" s="35" t="str">
        <x:v>Only data inventory/cohort audit and expression QC execute. No reference complete-cohort count or scientific treatment effect is produced.</x:v>
      </x:c>
    </x:row>
    <x:row r="102" ht="54" customHeight="1">
      <x:c r="A102" s="32" t="str">
        <x:v>FR-0003</x:v>
      </x:c>
      <x:c r="B102" s="33" t="str">
        <x:v>BioMaster</x:v>
      </x:c>
      <x:c r="C102" s="33" t="str">
        <x:v>A04</x:v>
      </x:c>
      <x:c r="D102" s="33" t="str">
        <x:v>ABMR probability: felzartamab minus placebo difference in group-median change from week 24 to week 52, native scale</x:v>
      </x:c>
      <x:c r="E102" s="59" t="n">
        <x:v>0.79</x:v>
      </x:c>
      <x:c r="F102" s="58" t="str">
        <x:v>Not specified</x:v>
      </x:c>
      <x:c r="G102" s="59" t="n">
        <x:v>0.45</x:v>
      </x:c>
      <x:c r="H102" s="58" t="str">
        <x:v>No corresponding executed estimate</x:v>
      </x:c>
      <x:c r="I102" s="58" t="str">
        <x:v>Not reported</x:v>
      </x:c>
      <x:c r="J102" s="57" t="n">
        <x:v>2</x:v>
      </x:c>
      <x:c r="K102" s="34" t="n">
        <x:v>0</x:v>
      </x:c>
      <x:c r="L102" s="34" t="n">
        <x:f>J102*K102</x:f>
        <x:v>0</x:v>
      </x:c>
      <x:c r="M102" s="33" t="str">
        <x:v>Not answered</x:v>
      </x:c>
      <x:c r="N102" s="35" t="str">
        <x:v>Only data inventory/cohort audit and expression QC execute. No reference complete-cohort count or scientific treatment effect is produced.</x:v>
      </x:c>
    </x:row>
    <x:row r="103" ht="54" customHeight="1">
      <x:c r="A103" s="32" t="str">
        <x:v>FR-0003</x:v>
      </x:c>
      <x:c r="B103" s="33" t="str">
        <x:v>BioMaster</x:v>
      </x:c>
      <x:c r="C103" s="33" t="str">
        <x:v>A05</x:v>
      </x:c>
      <x:c r="D103" s="33" t="str">
        <x:v>NK cell burden: felzartamab minus placebo difference in group-median change from baseline to week 24, native scale</x:v>
      </x:c>
      <x:c r="E103" s="59" t="n">
        <x:v>-0.8</x:v>
      </x:c>
      <x:c r="F103" s="58" t="str">
        <x:v>Not specified</x:v>
      </x:c>
      <x:c r="G103" s="59" t="n">
        <x:v>0.36</x:v>
      </x:c>
      <x:c r="H103" s="58" t="str">
        <x:v>No corresponding executed estimate</x:v>
      </x:c>
      <x:c r="I103" s="58" t="str">
        <x:v>Not reported</x:v>
      </x:c>
      <x:c r="J103" s="57" t="n">
        <x:v>1</x:v>
      </x:c>
      <x:c r="K103" s="34" t="n">
        <x:v>0</x:v>
      </x:c>
      <x:c r="L103" s="34" t="n">
        <x:f>J103*K103</x:f>
        <x:v>0</x:v>
      </x:c>
      <x:c r="M103" s="33" t="str">
        <x:v>Not answered</x:v>
      </x:c>
      <x:c r="N103" s="35" t="str">
        <x:v>Only data inventory/cohort audit and expression QC execute. No reference complete-cohort count or scientific treatment effect is produced.</x:v>
      </x:c>
    </x:row>
    <x:row r="104" ht="54" customHeight="1">
      <x:c r="A104" s="32" t="str">
        <x:v>FR-0003</x:v>
      </x:c>
      <x:c r="B104" s="33" t="str">
        <x:v>BioMaster</x:v>
      </x:c>
      <x:c r="C104" s="33" t="str">
        <x:v>A06</x:v>
      </x:c>
      <x:c r="D104" s="33" t="str">
        <x:v>TCMR probability: felzartamab minus placebo difference in group-median change from baseline to week 24, native scale</x:v>
      </x:c>
      <x:c r="E104" s="59" t="n">
        <x:v>0.01</x:v>
      </x:c>
      <x:c r="F104" s="58" t="str">
        <x:v>Not specified</x:v>
      </x:c>
      <x:c r="G104" s="59" t="n">
        <x:v>0.05</x:v>
      </x:c>
      <x:c r="H104" s="58" t="str">
        <x:v>No corresponding executed estimate</x:v>
      </x:c>
      <x:c r="I104" s="58" t="str">
        <x:v>Not reported</x:v>
      </x:c>
      <x:c r="J104" s="57" t="n">
        <x:v>1</x:v>
      </x:c>
      <x:c r="K104" s="34" t="n">
        <x:v>0</x:v>
      </x:c>
      <x:c r="L104" s="34" t="n">
        <x:f>J104*K104</x:f>
        <x:v>0</x:v>
      </x:c>
      <x:c r="M104" s="33" t="str">
        <x:v>Not answered</x:v>
      </x:c>
      <x:c r="N104" s="35" t="str">
        <x:v>Only data inventory/cohort audit and expression QC execute. No reference complete-cohort count or scientific treatment effect is produced.</x:v>
      </x:c>
    </x:row>
    <x:row r="105" ht="48" customHeight="1">
      <x:c r="A105" s="32" t="str">
        <x:v>FR-0003</x:v>
      </x:c>
      <x:c r="B105" s="33" t="str">
        <x:v>BioMaster</x:v>
      </x:c>
      <x:c r="C105" s="33" t="str">
        <x:v>A07</x:v>
      </x:c>
      <x:c r="D105" s="33" t="str">
        <x:v>Injury-repair-associated score: felzartamab minus placebo annual linear-trajectory slope difference</x:v>
      </x:c>
      <x:c r="E105" s="59" t="n">
        <x:v>-0.6</x:v>
      </x:c>
      <x:c r="F105" s="58" t="str">
        <x:v>[-1.1, -0.1]</x:v>
      </x:c>
      <x:c r="G105" s="57" t="n">
        <x:v>1</x:v>
      </x:c>
      <x:c r="H105" s="58" t="str">
        <x:v>No corresponding executed estimate</x:v>
      </x:c>
      <x:c r="I105" s="58" t="str">
        <x:v>Not reported</x:v>
      </x:c>
      <x:c r="J105" s="57" t="n">
        <x:v>1</x:v>
      </x:c>
      <x:c r="K105" s="34" t="n">
        <x:v>0</x:v>
      </x:c>
      <x:c r="L105" s="34" t="n">
        <x:f>J105*K105</x:f>
        <x:v>0</x:v>
      </x:c>
      <x:c r="M105" s="33" t="str">
        <x:v>Not answered</x:v>
      </x:c>
      <x:c r="N105" s="35" t="str">
        <x:v>Only data inventory/cohort audit and expression QC execute. No reference complete-cohort count or scientific treatment effect is produced.</x:v>
      </x:c>
    </x:row>
    <x:row r="106" ht="48" customHeight="1">
      <x:c r="A106" s="32" t="str">
        <x:v>FR-0003</x:v>
      </x:c>
      <x:c r="B106" s="33" t="str">
        <x:v>BioMaster</x:v>
      </x:c>
      <x:c r="C106" s="33" t="str">
        <x:v>A08</x:v>
      </x:c>
      <x:c r="D106" s="33" t="str">
        <x:v>Injury-repair day-3 score: felzartamab minus placebo annual linear-trajectory slope difference</x:v>
      </x:c>
      <x:c r="E106" s="59" t="n">
        <x:v>-0.2</x:v>
      </x:c>
      <x:c r="F106" s="58" t="str">
        <x:v>[-0.37, -0.02]</x:v>
      </x:c>
      <x:c r="G106" s="59" t="n">
        <x:v>0.35</x:v>
      </x:c>
      <x:c r="H106" s="58" t="str">
        <x:v>No corresponding executed estimate</x:v>
      </x:c>
      <x:c r="I106" s="58" t="str">
        <x:v>Not reported</x:v>
      </x:c>
      <x:c r="J106" s="57" t="n">
        <x:v>2</x:v>
      </x:c>
      <x:c r="K106" s="34" t="n">
        <x:v>0</x:v>
      </x:c>
      <x:c r="L106" s="34" t="n">
        <x:f>J106*K106</x:f>
        <x:v>0</x:v>
      </x:c>
      <x:c r="M106" s="33" t="str">
        <x:v>Not answered</x:v>
      </x:c>
      <x:c r="N106" s="35" t="str">
        <x:v>Only data inventory/cohort audit and expression QC execute. No reference complete-cohort count or scientific treatment effect is produced.</x:v>
      </x:c>
    </x:row>
    <x:row r="107" ht="48" customHeight="1">
      <x:c r="A107" s="32" t="str">
        <x:v>FR-0003</x:v>
      </x:c>
      <x:c r="B107" s="33" t="str">
        <x:v>BioMaster</x:v>
      </x:c>
      <x:c r="C107" s="33" t="str">
        <x:v>A09</x:v>
      </x:c>
      <x:c r="D107" s="33" t="str">
        <x:v>Injury-repair day-5 score: felzartamab minus placebo annual linear-trajectory slope difference</x:v>
      </x:c>
      <x:c r="E107" s="59" t="n">
        <x:v>-0.23</x:v>
      </x:c>
      <x:c r="F107" s="58" t="str">
        <x:v>[-0.41, -0.05]</x:v>
      </x:c>
      <x:c r="G107" s="59" t="n">
        <x:v>0.36</x:v>
      </x:c>
      <x:c r="H107" s="58" t="str">
        <x:v>No corresponding executed estimate</x:v>
      </x:c>
      <x:c r="I107" s="58" t="str">
        <x:v>Not reported</x:v>
      </x:c>
      <x:c r="J107" s="57" t="n">
        <x:v>2</x:v>
      </x:c>
      <x:c r="K107" s="34" t="n">
        <x:v>0</x:v>
      </x:c>
      <x:c r="L107" s="34" t="n">
        <x:f>J107*K107</x:f>
        <x:v>0</x:v>
      </x:c>
      <x:c r="M107" s="33" t="str">
        <x:v>Not answered</x:v>
      </x:c>
      <x:c r="N107" s="35" t="str">
        <x:v>Only data inventory/cohort audit and expression QC execute. No reference complete-cohort count or scientific treatment effect is produced.</x:v>
      </x:c>
    </x:row>
    <x:row r="108" ht="54" customHeight="1">
      <x:c r="A108" s="32" t="str">
        <x:v>FR-0003</x:v>
      </x:c>
      <x:c r="B108" s="33" t="str">
        <x:v>BioMaster</x:v>
      </x:c>
      <x:c r="C108" s="33" t="str">
        <x:v>A10</x:v>
      </x:c>
      <x:c r="D108" s="33" t="str">
        <x:v>CXCL11: baseline-to-week-24 difference in log fold change under the published limma design (each arm change divided by 2)</x:v>
      </x:c>
      <x:c r="E108" s="59" t="n">
        <x:v>-0.85</x:v>
      </x:c>
      <x:c r="F108" s="58" t="str">
        <x:v>Not specified</x:v>
      </x:c>
      <x:c r="G108" s="59" t="n">
        <x:v>0.2</x:v>
      </x:c>
      <x:c r="H108" s="58" t="str">
        <x:v>No corresponding executed estimate</x:v>
      </x:c>
      <x:c r="I108" s="58" t="str">
        <x:v>Not reported</x:v>
      </x:c>
      <x:c r="J108" s="57" t="n">
        <x:v>1</x:v>
      </x:c>
      <x:c r="K108" s="34" t="n">
        <x:v>0</x:v>
      </x:c>
      <x:c r="L108" s="34" t="n">
        <x:f>J108*K108</x:f>
        <x:v>0</x:v>
      </x:c>
      <x:c r="M108" s="33" t="str">
        <x:v>Not answered</x:v>
      </x:c>
      <x:c r="N108" s="35" t="str">
        <x:v>Only data inventory/cohort audit and expression QC execute. No reference complete-cohort count or scientific treatment effect is produced.</x:v>
      </x:c>
    </x:row>
    <x:row r="109" ht="54" customHeight="1">
      <x:c r="A109" s="32" t="str">
        <x:v>FR-0003</x:v>
      </x:c>
      <x:c r="B109" s="33" t="str">
        <x:v>BioMaster</x:v>
      </x:c>
      <x:c r="C109" s="33" t="str">
        <x:v>A11</x:v>
      </x:c>
      <x:c r="D109" s="33" t="str">
        <x:v>Negatively enriched ABMR/immune pathways at FDR &lt;0.05 in the specified multi-database GSEA, baseline to week 24</x:v>
      </x:c>
      <x:c r="E109" s="57" t="n">
        <x:v>12</x:v>
      </x:c>
      <x:c r="F109" s="58" t="str">
        <x:v>Not specified</x:v>
      </x:c>
      <x:c r="G109" s="57" t="n">
        <x:v>1</x:v>
      </x:c>
      <x:c r="H109" s="58" t="str">
        <x:v>No corresponding executed estimate</x:v>
      </x:c>
      <x:c r="I109" s="58" t="str">
        <x:v>Not reported</x:v>
      </x:c>
      <x:c r="J109" s="57" t="n">
        <x:v>1</x:v>
      </x:c>
      <x:c r="K109" s="34" t="n">
        <x:v>0</x:v>
      </x:c>
      <x:c r="L109" s="34" t="n">
        <x:f>J109*K109</x:f>
        <x:v>0</x:v>
      </x:c>
      <x:c r="M109" s="33" t="str">
        <x:v>Not answered</x:v>
      </x:c>
      <x:c r="N109" s="35" t="str">
        <x:v>Only data inventory/cohort audit and expression QC execute. No reference complete-cohort count or scientific treatment effect is produced.</x:v>
      </x:c>
    </x:row>
    <x:row r="110" ht="54" customHeight="1">
      <x:c r="A110" s="32" t="str">
        <x:v>FR-0003</x:v>
      </x:c>
      <x:c r="B110" s="33" t="str">
        <x:v>BioMaster</x:v>
      </x:c>
      <x:c r="C110" s="33" t="str">
        <x:v>A12</x:v>
      </x:c>
      <x:c r="D110" s="33" t="str">
        <x:v>Genes annotated as injury-induced and downregulated among the top 20 genes ranked by unadjusted P, baseline to week 52</x:v>
      </x:c>
      <x:c r="E110" s="57" t="n">
        <x:v>17</x:v>
      </x:c>
      <x:c r="F110" s="58" t="str">
        <x:v>Not specified</x:v>
      </x:c>
      <x:c r="G110" s="57" t="n">
        <x:v>1</x:v>
      </x:c>
      <x:c r="H110" s="58" t="str">
        <x:v>No corresponding executed estimate</x:v>
      </x:c>
      <x:c r="I110" s="58" t="str">
        <x:v>Not reported</x:v>
      </x:c>
      <x:c r="J110" s="57" t="n">
        <x:v>1</x:v>
      </x:c>
      <x:c r="K110" s="34" t="n">
        <x:v>0</x:v>
      </x:c>
      <x:c r="L110" s="34" t="n">
        <x:f>J110*K110</x:f>
        <x:v>0</x:v>
      </x:c>
      <x:c r="M110" s="33" t="str">
        <x:v>Not answered</x:v>
      </x:c>
      <x:c r="N110" s="35" t="str">
        <x:v>Only data inventory/cohort audit and expression QC execute. No reference complete-cohort count or scientific treatment effect is produced.</x:v>
      </x:c>
    </x:row>
    <x:row r="111" ht="54" customHeight="1">
      <x:c r="A111" s="40" t="str">
        <x:v>FR-0004</x:v>
      </x:c>
      <x:c r="B111" s="41" t="str">
        <x:v>BioMaster</x:v>
      </x:c>
      <x:c r="C111" s="41" t="str">
        <x:v>A1</x:v>
      </x:c>
      <x:c r="D111" s="41" t="str">
        <x:v>adjusted difference in VF MD yearly slope (dB/year) per 1-SD higher basal PBMC OCR in the entire treated POAG cohort</x:v>
      </x:c>
      <x:c r="E111" s="60" t="n">
        <x:v>0.186</x:v>
      </x:c>
      <x:c r="F111" s="55" t="str">
        <x:v>[0.1174, 0.2546]</x:v>
      </x:c>
      <x:c r="G111" s="60" t="n">
        <x:v>0.1372</x:v>
      </x:c>
      <x:c r="H111" s="55" t="str">
        <x:v>No corresponding executed estimate</x:v>
      </x:c>
      <x:c r="I111" s="55" t="str">
        <x:v>Not reported</x:v>
      </x:c>
      <x:c r="J111" s="54" t="n">
        <x:v>2</x:v>
      </x:c>
      <x:c r="K111" s="56" t="n">
        <x:v>0</x:v>
      </x:c>
      <x:c r="L111" s="56" t="n">
        <x:f>J111*K111</x:f>
        <x:v>0</x:v>
      </x:c>
      <x:c r="M111" s="41" t="str">
        <x:v>Not answered</x:v>
      </x:c>
      <x:c r="N111" s="41" t="str">
        <x:v>Only setup/schema/variable-audit artifacts are executed; no longitudinal model or OCR-progression effect is produced.</x:v>
      </x:c>
    </x:row>
    <x:row r="112" ht="48" customHeight="1">
      <x:c r="A112" s="32" t="str">
        <x:v>FR-0004</x:v>
      </x:c>
      <x:c r="B112" s="33" t="str">
        <x:v>BioMaster</x:v>
      </x:c>
      <x:c r="C112" s="33" t="str">
        <x:v>A2</x:v>
      </x:c>
      <x:c r="D112" s="33" t="str">
        <x:v>adjusted difference in VF MD yearly slope (dB/year) per 1-SD higher basal PBMC OCR among NTG eyes</x:v>
      </x:c>
      <x:c r="E112" s="59" t="n">
        <x:v>0.176</x:v>
      </x:c>
      <x:c r="F112" s="58" t="str">
        <x:v>[0.08388, 0.26812]</x:v>
      </x:c>
      <x:c r="G112" s="59" t="n">
        <x:v>0.18424</x:v>
      </x:c>
      <x:c r="H112" s="58" t="str">
        <x:v>No corresponding executed estimate</x:v>
      </x:c>
      <x:c r="I112" s="58" t="str">
        <x:v>Not reported</x:v>
      </x:c>
      <x:c r="J112" s="57" t="n">
        <x:v>1</x:v>
      </x:c>
      <x:c r="K112" s="34" t="n">
        <x:v>0</x:v>
      </x:c>
      <x:c r="L112" s="34" t="n">
        <x:f>J112*K112</x:f>
        <x:v>0</x:v>
      </x:c>
      <x:c r="M112" s="33" t="str">
        <x:v>Not answered</x:v>
      </x:c>
      <x:c r="N112" s="35" t="str">
        <x:v>Only setup/schema/variable-audit artifacts are executed; no longitudinal model or OCR-progression effect is produced.</x:v>
      </x:c>
    </x:row>
    <x:row r="113" ht="48" customHeight="1">
      <x:c r="A113" s="32" t="str">
        <x:v>FR-0004</x:v>
      </x:c>
      <x:c r="B113" s="33" t="str">
        <x:v>BioMaster</x:v>
      </x:c>
      <x:c r="C113" s="33" t="str">
        <x:v>A3</x:v>
      </x:c>
      <x:c r="D113" s="33" t="str">
        <x:v>adjusted difference in VF MD yearly slope (dB/year) per 1-SD higher basal PBMC OCR among HTG eyes</x:v>
      </x:c>
      <x:c r="E113" s="59" t="n">
        <x:v>0.197</x:v>
      </x:c>
      <x:c r="F113" s="58" t="str">
        <x:v>[0.07744, 0.31656]</x:v>
      </x:c>
      <x:c r="G113" s="59" t="n">
        <x:v>0.23912</x:v>
      </x:c>
      <x:c r="H113" s="58" t="str">
        <x:v>No corresponding executed estimate</x:v>
      </x:c>
      <x:c r="I113" s="58" t="str">
        <x:v>Not reported</x:v>
      </x:c>
      <x:c r="J113" s="57" t="n">
        <x:v>1</x:v>
      </x:c>
      <x:c r="K113" s="34" t="n">
        <x:v>0</x:v>
      </x:c>
      <x:c r="L113" s="34" t="n">
        <x:f>J113*K113</x:f>
        <x:v>0</x:v>
      </x:c>
      <x:c r="M113" s="33" t="str">
        <x:v>Not answered</x:v>
      </x:c>
      <x:c r="N113" s="35" t="str">
        <x:v>Only setup/schema/variable-audit artifacts are executed; no longitudinal model or OCR-progression effect is produced.</x:v>
      </x:c>
    </x:row>
    <x:row r="114" ht="54" customHeight="1">
      <x:c r="A114" s="32" t="str">
        <x:v>FR-0004</x:v>
      </x:c>
      <x:c r="B114" s="33" t="str">
        <x:v>BioMaster</x:v>
      </x:c>
      <x:c r="C114" s="33" t="str">
        <x:v>A4</x:v>
      </x:c>
      <x:c r="D114" s="33" t="str">
        <x:v>adjusted difference in VF MD yearly slope (dB/year) per 1-SD higher ATP-linked PBMC OCR in the entire treated POAG cohort</x:v>
      </x:c>
      <x:c r="E114" s="59" t="n">
        <x:v>0.199</x:v>
      </x:c>
      <x:c r="F114" s="58" t="str">
        <x:v>[0.13236, 0.26564]</x:v>
      </x:c>
      <x:c r="G114" s="59" t="n">
        <x:v>0.13328</x:v>
      </x:c>
      <x:c r="H114" s="58" t="str">
        <x:v>No corresponding executed estimate</x:v>
      </x:c>
      <x:c r="I114" s="58" t="str">
        <x:v>Not reported</x:v>
      </x:c>
      <x:c r="J114" s="57" t="n">
        <x:v>1</x:v>
      </x:c>
      <x:c r="K114" s="34" t="n">
        <x:v>0</x:v>
      </x:c>
      <x:c r="L114" s="34" t="n">
        <x:f>J114*K114</x:f>
        <x:v>0</x:v>
      </x:c>
      <x:c r="M114" s="33" t="str">
        <x:v>Not answered</x:v>
      </x:c>
      <x:c r="N114" s="35" t="str">
        <x:v>Only setup/schema/variable-audit artifacts are executed; no longitudinal model or OCR-progression effect is produced.</x:v>
      </x:c>
    </x:row>
    <x:row r="115" ht="54" customHeight="1">
      <x:c r="A115" s="32" t="str">
        <x:v>FR-0004</x:v>
      </x:c>
      <x:c r="B115" s="33" t="str">
        <x:v>BioMaster</x:v>
      </x:c>
      <x:c r="C115" s="33" t="str">
        <x:v>A5</x:v>
      </x:c>
      <x:c r="D115" s="33" t="str">
        <x:v>adjusted difference in VF MD yearly slope (dB/year) per 1-SD higher maximal PBMC OCR in the entire treated POAG cohort</x:v>
      </x:c>
      <x:c r="E115" s="59" t="n">
        <x:v>0.123</x:v>
      </x:c>
      <x:c r="F115" s="58" t="str">
        <x:v>[0.05244, 0.19356]</x:v>
      </x:c>
      <x:c r="G115" s="59" t="n">
        <x:v>0.14112</x:v>
      </x:c>
      <x:c r="H115" s="58" t="str">
        <x:v>No corresponding executed estimate</x:v>
      </x:c>
      <x:c r="I115" s="58" t="str">
        <x:v>Not reported</x:v>
      </x:c>
      <x:c r="J115" s="57" t="n">
        <x:v>1</x:v>
      </x:c>
      <x:c r="K115" s="34" t="n">
        <x:v>0</x:v>
      </x:c>
      <x:c r="L115" s="34" t="n">
        <x:f>J115*K115</x:f>
        <x:v>0</x:v>
      </x:c>
      <x:c r="M115" s="33" t="str">
        <x:v>Not answered</x:v>
      </x:c>
      <x:c r="N115" s="35" t="str">
        <x:v>Only setup/schema/variable-audit artifacts are executed; no longitudinal model or OCR-progression effect is produced.</x:v>
      </x:c>
    </x:row>
    <x:row r="116" ht="54" customHeight="1">
      <x:c r="A116" s="32" t="str">
        <x:v>FR-0004</x:v>
      </x:c>
      <x:c r="B116" s="33" t="str">
        <x:v>BioMaster</x:v>
      </x:c>
      <x:c r="C116" s="33" t="str">
        <x:v>A6</x:v>
      </x:c>
      <x:c r="D116" s="33" t="str">
        <x:v>adjusted difference in VF MD yearly slope (dB/year) per 1-SD higher PBMC reserve capacity in the entire treated POAG cohort</x:v>
      </x:c>
      <x:c r="E116" s="59" t="n">
        <x:v>0.108</x:v>
      </x:c>
      <x:c r="F116" s="58" t="str">
        <x:v>[0.03744, 0.17856]</x:v>
      </x:c>
      <x:c r="G116" s="59" t="n">
        <x:v>0.14112</x:v>
      </x:c>
      <x:c r="H116" s="58" t="str">
        <x:v>No corresponding executed estimate</x:v>
      </x:c>
      <x:c r="I116" s="58" t="str">
        <x:v>Not reported</x:v>
      </x:c>
      <x:c r="J116" s="57" t="n">
        <x:v>1</x:v>
      </x:c>
      <x:c r="K116" s="34" t="n">
        <x:v>0</x:v>
      </x:c>
      <x:c r="L116" s="34" t="n">
        <x:f>J116*K116</x:f>
        <x:v>0</x:v>
      </x:c>
      <x:c r="M116" s="33" t="str">
        <x:v>Not answered</x:v>
      </x:c>
      <x:c r="N116" s="35" t="str">
        <x:v>Only setup/schema/variable-audit artifacts are executed; no longitudinal model or OCR-progression effect is produced.</x:v>
      </x:c>
    </x:row>
    <x:row r="117" ht="48" customHeight="1">
      <x:c r="A117" s="40" t="str">
        <x:v>FR-0005</x:v>
      </x:c>
      <x:c r="B117" s="41" t="str">
        <x:v>BioMaster</x:v>
      </x:c>
      <x:c r="C117" s="41" t="str">
        <x:v>A01</x:v>
      </x:c>
      <x:c r="D117" s="41" t="str">
        <x:v>Unique mother-child pairs in the infant cohort</x:v>
      </x:c>
      <x:c r="E117" s="54" t="n">
        <x:v>94</x:v>
      </x:c>
      <x:c r="F117" s="55" t="str">
        <x:v>Not specified</x:v>
      </x:c>
      <x:c r="G117" s="54" t="n">
        <x:v>0</x:v>
      </x:c>
      <x:c r="H117" s="55" t="str">
        <x:v>No corresponding executed estimate</x:v>
      </x:c>
      <x:c r="I117" s="55" t="str">
        <x:v>Not reported</x:v>
      </x:c>
      <x:c r="J117" s="54" t="n">
        <x:v>1</x:v>
      </x:c>
      <x:c r="K117" s="56" t="n">
        <x:v>0</x:v>
      </x:c>
      <x:c r="L117" s="56" t="n">
        <x:f>J117*K117</x:f>
        <x:v>0</x:v>
      </x:c>
      <x:c r="M117" s="41" t="str">
        <x:v>Not answered</x:v>
      </x:c>
      <x:c r="N117" s="41" t="str">
        <x:v>The run ends before any model response or scientific execution.</x:v>
      </x:c>
    </x:row>
    <x:row r="118" ht="48" customHeight="1">
      <x:c r="A118" s="32" t="str">
        <x:v>FR-0005</x:v>
      </x:c>
      <x:c r="B118" s="33" t="str">
        <x:v>BioMaster</x:v>
      </x:c>
      <x:c r="C118" s="33" t="str">
        <x:v>A02</x:v>
      </x:c>
      <x:c r="D118" s="33" t="str">
        <x:v>Infants with new exposure after 6 months under the published serological rule</x:v>
      </x:c>
      <x:c r="E118" s="57" t="n">
        <x:v>22</x:v>
      </x:c>
      <x:c r="F118" s="58" t="str">
        <x:v>Not specified</x:v>
      </x:c>
      <x:c r="G118" s="57" t="n">
        <x:v>0</x:v>
      </x:c>
      <x:c r="H118" s="58" t="str">
        <x:v>No corresponding executed estimate</x:v>
      </x:c>
      <x:c r="I118" s="58" t="str">
        <x:v>Not reported</x:v>
      </x:c>
      <x:c r="J118" s="57" t="n">
        <x:v>1</x:v>
      </x:c>
      <x:c r="K118" s="34" t="n">
        <x:v>0</x:v>
      </x:c>
      <x:c r="L118" s="34" t="n">
        <x:f>J118*K118</x:f>
        <x:v>0</x:v>
      </x:c>
      <x:c r="M118" s="33" t="str">
        <x:v>Not answered</x:v>
      </x:c>
      <x:c r="N118" s="35" t="str">
        <x:v>The run ends before any model response or scientific execution.</x:v>
      </x:c>
    </x:row>
    <x:row r="119" ht="48" customHeight="1">
      <x:c r="A119" s="32" t="str">
        <x:v>FR-0005</x:v>
      </x:c>
      <x:c r="B119" s="33" t="str">
        <x:v>BioMaster</x:v>
      </x:c>
      <x:c r="C119" s="33" t="str">
        <x:v>A03</x:v>
      </x:c>
      <x:c r="D119" s="33" t="str">
        <x:v>Proportion with new serological exposure from month 6 to months 9/10/11</x:v>
      </x:c>
      <x:c r="E119" s="59" t="n">
        <x:v>0.23</x:v>
      </x:c>
      <x:c r="F119" s="58" t="str">
        <x:v>Not specified</x:v>
      </x:c>
      <x:c r="G119" s="59" t="n">
        <x:v>0.05</x:v>
      </x:c>
      <x:c r="H119" s="58" t="str">
        <x:v>No corresponding executed estimate</x:v>
      </x:c>
      <x:c r="I119" s="58" t="str">
        <x:v>Not reported</x:v>
      </x:c>
      <x:c r="J119" s="57" t="n">
        <x:v>1</x:v>
      </x:c>
      <x:c r="K119" s="34" t="n">
        <x:v>0</x:v>
      </x:c>
      <x:c r="L119" s="34" t="n">
        <x:f>J119*K119</x:f>
        <x:v>0</x:v>
      </x:c>
      <x:c r="M119" s="33" t="str">
        <x:v>Not answered</x:v>
      </x:c>
      <x:c r="N119" s="35" t="str">
        <x:v>The run ends before any model response or scientific execution.</x:v>
      </x:c>
    </x:row>
    <x:row r="120" ht="48" customHeight="1">
      <x:c r="A120" s="32" t="str">
        <x:v>FR-0005</x:v>
      </x:c>
      <x:c r="B120" s="33" t="str">
        <x:v>BioMaster</x:v>
      </x:c>
      <x:c r="C120" s="33" t="str">
        <x:v>A04</x:v>
      </x:c>
      <x:c r="D120" s="33" t="str">
        <x:v>Participants in the SpyCATS baseline life-course IgG analysis</x:v>
      </x:c>
      <x:c r="E120" s="57" t="n">
        <x:v>413</x:v>
      </x:c>
      <x:c r="F120" s="58" t="str">
        <x:v>Not specified</x:v>
      </x:c>
      <x:c r="G120" s="57" t="n">
        <x:v>0</x:v>
      </x:c>
      <x:c r="H120" s="58" t="str">
        <x:v>No corresponding executed estimate</x:v>
      </x:c>
      <x:c r="I120" s="58" t="str">
        <x:v>Not reported</x:v>
      </x:c>
      <x:c r="J120" s="57" t="n">
        <x:v>1</x:v>
      </x:c>
      <x:c r="K120" s="34" t="n">
        <x:v>0</x:v>
      </x:c>
      <x:c r="L120" s="34" t="n">
        <x:f>J120*K120</x:f>
        <x:v>0</x:v>
      </x:c>
      <x:c r="M120" s="33" t="str">
        <x:v>Not answered</x:v>
      </x:c>
      <x:c r="N120" s="35" t="str">
        <x:v>The run ends before any model response or scientific execution.</x:v>
      </x:c>
    </x:row>
    <x:row r="121" ht="48" customHeight="1">
      <x:c r="A121" s="32" t="str">
        <x:v>FR-0005</x:v>
      </x:c>
      <x:c r="B121" s="33" t="str">
        <x:v>BioMaster</x:v>
      </x:c>
      <x:c r="C121" s="33" t="str">
        <x:v>A05</x:v>
      </x:c>
      <x:c r="D121" s="33" t="str">
        <x:v>Minimum pairwise Pearson correlation among five antigen-specific IgG measures at baseline</x:v>
      </x:c>
      <x:c r="E121" s="59" t="n">
        <x:v>0.65</x:v>
      </x:c>
      <x:c r="F121" s="58" t="str">
        <x:v>Not specified</x:v>
      </x:c>
      <x:c r="G121" s="59" t="n">
        <x:v>0.1</x:v>
      </x:c>
      <x:c r="H121" s="58" t="str">
        <x:v>No corresponding executed estimate</x:v>
      </x:c>
      <x:c r="I121" s="58" t="str">
        <x:v>Not reported</x:v>
      </x:c>
      <x:c r="J121" s="57" t="n">
        <x:v>1</x:v>
      </x:c>
      <x:c r="K121" s="34" t="n">
        <x:v>0</x:v>
      </x:c>
      <x:c r="L121" s="34" t="n">
        <x:f>J121*K121</x:f>
        <x:v>0</x:v>
      </x:c>
      <x:c r="M121" s="33" t="str">
        <x:v>Not answered</x:v>
      </x:c>
      <x:c r="N121" s="35" t="str">
        <x:v>The run ends before any model response or scientific execution.</x:v>
      </x:c>
    </x:row>
    <x:row r="122" ht="48" customHeight="1">
      <x:c r="A122" s="32" t="str">
        <x:v>FR-0005</x:v>
      </x:c>
      <x:c r="B122" s="33" t="str">
        <x:v>BioMaster</x:v>
      </x:c>
      <x:c r="C122" s="33" t="str">
        <x:v>A06</x:v>
      </x:c>
      <x:c r="D122" s="33" t="str">
        <x:v>Maximum pairwise Pearson correlation among five antigen-specific IgG measures at baseline</x:v>
      </x:c>
      <x:c r="E122" s="59" t="n">
        <x:v>0.86</x:v>
      </x:c>
      <x:c r="F122" s="58" t="str">
        <x:v>Not specified</x:v>
      </x:c>
      <x:c r="G122" s="59" t="n">
        <x:v>0.1</x:v>
      </x:c>
      <x:c r="H122" s="58" t="str">
        <x:v>No corresponding executed estimate</x:v>
      </x:c>
      <x:c r="I122" s="58" t="str">
        <x:v>Not reported</x:v>
      </x:c>
      <x:c r="J122" s="57" t="n">
        <x:v>1</x:v>
      </x:c>
      <x:c r="K122" s="34" t="n">
        <x:v>0</x:v>
      </x:c>
      <x:c r="L122" s="34" t="n">
        <x:f>J122*K122</x:f>
        <x:v>0</x:v>
      </x:c>
      <x:c r="M122" s="33" t="str">
        <x:v>Not answered</x:v>
      </x:c>
      <x:c r="N122" s="35" t="str">
        <x:v>The run ends before any model response or scientific execution.</x:v>
      </x:c>
    </x:row>
    <x:row r="123" ht="48" customHeight="1">
      <x:c r="A123" s="32" t="str">
        <x:v>FR-0005</x:v>
      </x:c>
      <x:c r="B123" s="33" t="str">
        <x:v>BioMaster</x:v>
      </x:c>
      <x:c r="C123" s="33" t="str">
        <x:v>A07</x:v>
      </x:c>
      <x:c r="D123" s="33" t="str">
        <x:v>Culture-confirmed events with paired pre-event and post-event IgG</x:v>
      </x:c>
      <x:c r="E123" s="57" t="n">
        <x:v>150</x:v>
      </x:c>
      <x:c r="F123" s="58" t="str">
        <x:v>Not specified</x:v>
      </x:c>
      <x:c r="G123" s="57" t="n">
        <x:v>0</x:v>
      </x:c>
      <x:c r="H123" s="58" t="str">
        <x:v>No corresponding executed estimate</x:v>
      </x:c>
      <x:c r="I123" s="58" t="str">
        <x:v>Not reported</x:v>
      </x:c>
      <x:c r="J123" s="57" t="n">
        <x:v>1</x:v>
      </x:c>
      <x:c r="K123" s="34" t="n">
        <x:v>0</x:v>
      </x:c>
      <x:c r="L123" s="34" t="n">
        <x:f>J123*K123</x:f>
        <x:v>0</x:v>
      </x:c>
      <x:c r="M123" s="33" t="str">
        <x:v>Not answered</x:v>
      </x:c>
      <x:c r="N123" s="35" t="str">
        <x:v>The run ends before any model response or scientific execution.</x:v>
      </x:c>
    </x:row>
    <x:row r="124" ht="48" customHeight="1">
      <x:c r="A124" s="32" t="str">
        <x:v>FR-0005</x:v>
      </x:c>
      <x:c r="B124" s="33" t="str">
        <x:v>BioMaster</x:v>
      </x:c>
      <x:c r="C124" s="33" t="str">
        <x:v>A08</x:v>
      </x:c>
      <x:c r="D124" s="33" t="str">
        <x:v>Minimum mean post-event log10 IgG increase across five antigens (log10 RLU/mL)</x:v>
      </x:c>
      <x:c r="E124" s="59" t="n">
        <x:v>0.1</x:v>
      </x:c>
      <x:c r="F124" s="58" t="str">
        <x:v>Not specified</x:v>
      </x:c>
      <x:c r="G124" s="59" t="n">
        <x:v>0.05</x:v>
      </x:c>
      <x:c r="H124" s="58" t="str">
        <x:v>No corresponding executed estimate</x:v>
      </x:c>
      <x:c r="I124" s="58" t="str">
        <x:v>Not reported</x:v>
      </x:c>
      <x:c r="J124" s="57" t="n">
        <x:v>1</x:v>
      </x:c>
      <x:c r="K124" s="34" t="n">
        <x:v>0</x:v>
      </x:c>
      <x:c r="L124" s="34" t="n">
        <x:f>J124*K124</x:f>
        <x:v>0</x:v>
      </x:c>
      <x:c r="M124" s="33" t="str">
        <x:v>Not answered</x:v>
      </x:c>
      <x:c r="N124" s="35" t="str">
        <x:v>The run ends before any model response or scientific execution.</x:v>
      </x:c>
    </x:row>
    <x:row r="125" ht="48" customHeight="1">
      <x:c r="A125" s="32" t="str">
        <x:v>FR-0005</x:v>
      </x:c>
      <x:c r="B125" s="33" t="str">
        <x:v>BioMaster</x:v>
      </x:c>
      <x:c r="C125" s="33" t="str">
        <x:v>A09</x:v>
      </x:c>
      <x:c r="D125" s="33" t="str">
        <x:v>Maximum mean post-event log10 IgG increase across five antigens (log10 RLU/mL)</x:v>
      </x:c>
      <x:c r="E125" s="59" t="n">
        <x:v>0.19</x:v>
      </x:c>
      <x:c r="F125" s="58" t="str">
        <x:v>Not specified</x:v>
      </x:c>
      <x:c r="G125" s="59" t="n">
        <x:v>0.05</x:v>
      </x:c>
      <x:c r="H125" s="58" t="str">
        <x:v>No corresponding executed estimate</x:v>
      </x:c>
      <x:c r="I125" s="58" t="str">
        <x:v>Not reported</x:v>
      </x:c>
      <x:c r="J125" s="57" t="n">
        <x:v>1</x:v>
      </x:c>
      <x:c r="K125" s="34" t="n">
        <x:v>0</x:v>
      </x:c>
      <x:c r="L125" s="34" t="n">
        <x:f>J125*K125</x:f>
        <x:v>0</x:v>
      </x:c>
      <x:c r="M125" s="33" t="str">
        <x:v>Not answered</x:v>
      </x:c>
      <x:c r="N125" s="35" t="str">
        <x:v>The run ends before any model response or scientific execution.</x:v>
      </x:c>
    </x:row>
    <x:row r="126" ht="48" customHeight="1">
      <x:c r="A126" s="32" t="str">
        <x:v>FR-0005</x:v>
      </x:c>
      <x:c r="B126" s="33" t="str">
        <x:v>BioMaster</x:v>
      </x:c>
      <x:c r="C126" s="33" t="str">
        <x:v>A10</x:v>
      </x:c>
      <x:c r="D126" s="33" t="str">
        <x:v>Minimum difference in post-event log10 IgG increase, age &lt;2 years minus adults, across five antigens</x:v>
      </x:c>
      <x:c r="E126" s="59" t="n">
        <x:v>0.25</x:v>
      </x:c>
      <x:c r="F126" s="58" t="str">
        <x:v>Not specified</x:v>
      </x:c>
      <x:c r="G126" s="59" t="n">
        <x:v>0.1</x:v>
      </x:c>
      <x:c r="H126" s="58" t="str">
        <x:v>No corresponding executed estimate</x:v>
      </x:c>
      <x:c r="I126" s="58" t="str">
        <x:v>Not reported</x:v>
      </x:c>
      <x:c r="J126" s="57" t="n">
        <x:v>1</x:v>
      </x:c>
      <x:c r="K126" s="34" t="n">
        <x:v>0</x:v>
      </x:c>
      <x:c r="L126" s="34" t="n">
        <x:f>J126*K126</x:f>
        <x:v>0</x:v>
      </x:c>
      <x:c r="M126" s="33" t="str">
        <x:v>Not answered</x:v>
      </x:c>
      <x:c r="N126" s="35" t="str">
        <x:v>The run ends before any model response or scientific execution.</x:v>
      </x:c>
    </x:row>
    <x:row r="127" ht="48" customHeight="1">
      <x:c r="A127" s="32" t="str">
        <x:v>FR-0005</x:v>
      </x:c>
      <x:c r="B127" s="33" t="str">
        <x:v>BioMaster</x:v>
      </x:c>
      <x:c r="C127" s="33" t="str">
        <x:v>A11</x:v>
      </x:c>
      <x:c r="D127" s="33" t="str">
        <x:v>Maximum difference in post-event log10 IgG increase, age &lt;2 years minus adults, across five antigens</x:v>
      </x:c>
      <x:c r="E127" s="59" t="n">
        <x:v>0.54</x:v>
      </x:c>
      <x:c r="F127" s="58" t="str">
        <x:v>Not specified</x:v>
      </x:c>
      <x:c r="G127" s="59" t="n">
        <x:v>0.1</x:v>
      </x:c>
      <x:c r="H127" s="58" t="str">
        <x:v>No corresponding executed estimate</x:v>
      </x:c>
      <x:c r="I127" s="58" t="str">
        <x:v>Not reported</x:v>
      </x:c>
      <x:c r="J127" s="57" t="n">
        <x:v>1</x:v>
      </x:c>
      <x:c r="K127" s="34" t="n">
        <x:v>0</x:v>
      </x:c>
      <x:c r="L127" s="34" t="n">
        <x:f>J127*K127</x:f>
        <x:v>0</x:v>
      </x:c>
      <x:c r="M127" s="33" t="str">
        <x:v>Not answered</x:v>
      </x:c>
      <x:c r="N127" s="35" t="str">
        <x:v>The run ends before any model response or scientific execution.</x:v>
      </x:c>
    </x:row>
    <x:row r="128" ht="48" customHeight="1">
      <x:c r="A128" s="32" t="str">
        <x:v>FR-0005</x:v>
      </x:c>
      <x:c r="B128" s="33" t="str">
        <x:v>BioMaster</x:v>
      </x:c>
      <x:c r="C128" s="33" t="str">
        <x:v>A12</x:v>
      </x:c>
      <x:c r="D128" s="33" t="str">
        <x:v>Unique participant-IgG measurement timepoints in the protection analysis</x:v>
      </x:c>
      <x:c r="E128" s="57" t="n">
        <x:v>1987</x:v>
      </x:c>
      <x:c r="F128" s="58" t="str">
        <x:v>Not specified</x:v>
      </x:c>
      <x:c r="G128" s="57" t="n">
        <x:v>0</x:v>
      </x:c>
      <x:c r="H128" s="58" t="str">
        <x:v>No corresponding executed estimate</x:v>
      </x:c>
      <x:c r="I128" s="58" t="str">
        <x:v>Not reported</x:v>
      </x:c>
      <x:c r="J128" s="57" t="n">
        <x:v>1</x:v>
      </x:c>
      <x:c r="K128" s="34" t="n">
        <x:v>0</x:v>
      </x:c>
      <x:c r="L128" s="34" t="n">
        <x:f>J128*K128</x:f>
        <x:v>0</x:v>
      </x:c>
      <x:c r="M128" s="33" t="str">
        <x:v>Not answered</x:v>
      </x:c>
      <x:c r="N128" s="35" t="str">
        <x:v>The run ends before any model response or scientific execution.</x:v>
      </x:c>
    </x:row>
    <x:row r="129" ht="48" customHeight="1">
      <x:c r="A129" s="32" t="str">
        <x:v>FR-0005</x:v>
      </x:c>
      <x:c r="B129" s="33" t="str">
        <x:v>BioMaster</x:v>
      </x:c>
      <x:c r="C129" s="33" t="str">
        <x:v>A13</x:v>
      </x:c>
      <x:c r="D129" s="33" t="str">
        <x:v>Participants with at least one IgG measurement in the protection analysis</x:v>
      </x:c>
      <x:c r="E129" s="57" t="n">
        <x:v>431</x:v>
      </x:c>
      <x:c r="F129" s="58" t="str">
        <x:v>Not specified</x:v>
      </x:c>
      <x:c r="G129" s="57" t="n">
        <x:v>0</x:v>
      </x:c>
      <x:c r="H129" s="58" t="str">
        <x:v>No corresponding executed estimate</x:v>
      </x:c>
      <x:c r="I129" s="58" t="str">
        <x:v>Not reported</x:v>
      </x:c>
      <x:c r="J129" s="57" t="n">
        <x:v>1</x:v>
      </x:c>
      <x:c r="K129" s="34" t="n">
        <x:v>0</x:v>
      </x:c>
      <x:c r="L129" s="34" t="n">
        <x:f>J129*K129</x:f>
        <x:v>0</x:v>
      </x:c>
      <x:c r="M129" s="33" t="str">
        <x:v>Not answered</x:v>
      </x:c>
      <x:c r="N129" s="35" t="str">
        <x:v>The run ends before any model response or scientific execution.</x:v>
      </x:c>
    </x:row>
    <x:row r="130" ht="48" customHeight="1">
      <x:c r="A130" s="32" t="str">
        <x:v>FR-0005</x:v>
      </x:c>
      <x:c r="B130" s="33" t="str">
        <x:v>BioMaster</x:v>
      </x:c>
      <x:c r="C130" s="33" t="str">
        <x:v>A15</x:v>
      </x:c>
      <x:c r="D130" s="33" t="str">
        <x:v>Follow-up records in the 45-day event-probability analysis</x:v>
      </x:c>
      <x:c r="E130" s="57" t="n">
        <x:v>4677</x:v>
      </x:c>
      <x:c r="F130" s="58" t="str">
        <x:v>Not specified</x:v>
      </x:c>
      <x:c r="G130" s="57" t="n">
        <x:v>0</x:v>
      </x:c>
      <x:c r="H130" s="58" t="str">
        <x:v>No corresponding executed estimate</x:v>
      </x:c>
      <x:c r="I130" s="58" t="str">
        <x:v>Not reported</x:v>
      </x:c>
      <x:c r="J130" s="57" t="n">
        <x:v>1</x:v>
      </x:c>
      <x:c r="K130" s="34" t="n">
        <x:v>0</x:v>
      </x:c>
      <x:c r="L130" s="34" t="n">
        <x:f>J130*K130</x:f>
        <x:v>0</x:v>
      </x:c>
      <x:c r="M130" s="33" t="str">
        <x:v>Not answered</x:v>
      </x:c>
      <x:c r="N130" s="35" t="str">
        <x:v>The run ends before any model response or scientific execution.</x:v>
      </x:c>
    </x:row>
    <x:row r="131" ht="54" customHeight="1">
      <x:c r="A131" s="32" t="str">
        <x:v>FR-0005</x:v>
      </x:c>
      <x:c r="B131" s="33" t="str">
        <x:v>BioMaster</x:v>
      </x:c>
      <x:c r="C131" s="33" t="str">
        <x:v>A16</x:v>
      </x:c>
      <x:c r="D131" s="33" t="str">
        <x:v>SpyCEP: OR for any culture-confirmed event within 45 days per 1 log10 RLU/mL higher IgG in the unsegmented model</x:v>
      </x:c>
      <x:c r="E131" s="59" t="n">
        <x:v>0.68</x:v>
      </x:c>
      <x:c r="F131" s="58" t="str">
        <x:v>[0.5, 0.92]</x:v>
      </x:c>
      <x:c r="G131" s="59" t="n">
        <x:v>0.42</x:v>
      </x:c>
      <x:c r="H131" s="58" t="str">
        <x:v>No corresponding executed estimate</x:v>
      </x:c>
      <x:c r="I131" s="58" t="str">
        <x:v>Not reported</x:v>
      </x:c>
      <x:c r="J131" s="57" t="n">
        <x:v>1</x:v>
      </x:c>
      <x:c r="K131" s="34" t="n">
        <x:v>0</x:v>
      </x:c>
      <x:c r="L131" s="34" t="n">
        <x:f>J131*K131</x:f>
        <x:v>0</x:v>
      </x:c>
      <x:c r="M131" s="33" t="str">
        <x:v>Not answered</x:v>
      </x:c>
      <x:c r="N131" s="35" t="str">
        <x:v>The run ends before any model response or scientific execution.</x:v>
      </x:c>
    </x:row>
    <x:row r="132" ht="48" customHeight="1">
      <x:c r="A132" s="32" t="str">
        <x:v>FR-0005</x:v>
      </x:c>
      <x:c r="B132" s="33" t="str">
        <x:v>BioMaster</x:v>
      </x:c>
      <x:c r="C132" s="33" t="str">
        <x:v>A17</x:v>
      </x:c>
      <x:c r="D132" s="33" t="str">
        <x:v>SLO: OR for any culture-confirmed event within 45 days per 1 log10 RLU/mL above the breakpoint</x:v>
      </x:c>
      <x:c r="E132" s="59" t="n">
        <x:v>0.06</x:v>
      </x:c>
      <x:c r="F132" s="58" t="str">
        <x:v>[0.01, 0.49]</x:v>
      </x:c>
      <x:c r="G132" s="59" t="n">
        <x:v>0.48</x:v>
      </x:c>
      <x:c r="H132" s="58" t="str">
        <x:v>No corresponding executed estimate</x:v>
      </x:c>
      <x:c r="I132" s="58" t="str">
        <x:v>Not reported</x:v>
      </x:c>
      <x:c r="J132" s="57" t="n">
        <x:v>2</x:v>
      </x:c>
      <x:c r="K132" s="34" t="n">
        <x:v>0</x:v>
      </x:c>
      <x:c r="L132" s="34" t="n">
        <x:f>J132*K132</x:f>
        <x:v>0</x:v>
      </x:c>
      <x:c r="M132" s="33" t="str">
        <x:v>Not answered</x:v>
      </x:c>
      <x:c r="N132" s="35" t="str">
        <x:v>The run ends before any model response or scientific execution.</x:v>
      </x:c>
    </x:row>
    <x:row r="133" ht="48" customHeight="1">
      <x:c r="A133" s="32" t="str">
        <x:v>FR-0005</x:v>
      </x:c>
      <x:c r="B133" s="33" t="str">
        <x:v>BioMaster</x:v>
      </x:c>
      <x:c r="C133" s="33" t="str">
        <x:v>A18</x:v>
      </x:c>
      <x:c r="D133" s="33" t="str">
        <x:v>SpyAD: OR for any culture-confirmed event within 45 days per 1 log10 RLU/mL above the breakpoint</x:v>
      </x:c>
      <x:c r="E133" s="59" t="n">
        <x:v>0.34</x:v>
      </x:c>
      <x:c r="F133" s="58" t="str">
        <x:v>[0.15, 0.77]</x:v>
      </x:c>
      <x:c r="G133" s="59" t="n">
        <x:v>0.62</x:v>
      </x:c>
      <x:c r="H133" s="58" t="str">
        <x:v>No corresponding executed estimate</x:v>
      </x:c>
      <x:c r="I133" s="58" t="str">
        <x:v>Not reported</x:v>
      </x:c>
      <x:c r="J133" s="57" t="n">
        <x:v>2</x:v>
      </x:c>
      <x:c r="K133" s="34" t="n">
        <x:v>0</x:v>
      </x:c>
      <x:c r="L133" s="34" t="n">
        <x:f>J133*K133</x:f>
        <x:v>0</x:v>
      </x:c>
      <x:c r="M133" s="33" t="str">
        <x:v>Not answered</x:v>
      </x:c>
      <x:c r="N133" s="35" t="str">
        <x:v>The run ends before any model response or scientific execution.</x:v>
      </x:c>
    </x:row>
    <x:row r="134" ht="48" customHeight="1">
      <x:c r="A134" s="32" t="str">
        <x:v>FR-0005</x:v>
      </x:c>
      <x:c r="B134" s="33" t="str">
        <x:v>BioMaster</x:v>
      </x:c>
      <x:c r="C134" s="33" t="str">
        <x:v>A19</x:v>
      </x:c>
      <x:c r="D134" s="33" t="str">
        <x:v>SpyCEP: OR for any culture-confirmed event within 45 days per 1 log10 RLU/mL above the breakpoint</x:v>
      </x:c>
      <x:c r="E134" s="59" t="n">
        <x:v>0.25</x:v>
      </x:c>
      <x:c r="F134" s="58" t="str">
        <x:v>[0.09, 0.68]</x:v>
      </x:c>
      <x:c r="G134" s="59" t="n">
        <x:v>0.59</x:v>
      </x:c>
      <x:c r="H134" s="58" t="str">
        <x:v>No corresponding executed estimate</x:v>
      </x:c>
      <x:c r="I134" s="58" t="str">
        <x:v>Not reported</x:v>
      </x:c>
      <x:c r="J134" s="57" t="n">
        <x:v>2</x:v>
      </x:c>
      <x:c r="K134" s="34" t="n">
        <x:v>0</x:v>
      </x:c>
      <x:c r="L134" s="34" t="n">
        <x:f>J134*K134</x:f>
        <x:v>0</x:v>
      </x:c>
      <x:c r="M134" s="33" t="str">
        <x:v>Not answered</x:v>
      </x:c>
      <x:c r="N134" s="35" t="str">
        <x:v>The run ends before any model response or scientific execution.</x:v>
      </x:c>
    </x:row>
    <x:row r="135" ht="48" customHeight="1">
      <x:c r="A135" s="32" t="str">
        <x:v>FR-0005</x:v>
      </x:c>
      <x:c r="B135" s="33" t="str">
        <x:v>BioMaster</x:v>
      </x:c>
      <x:c r="C135" s="33" t="str">
        <x:v>A20</x:v>
      </x:c>
      <x:c r="D135" s="33" t="str">
        <x:v>SLO: putative 50% protective IgG threshold (RLU/mL)</x:v>
      </x:c>
      <x:c r="E135" s="57" t="n">
        <x:v>39209</x:v>
      </x:c>
      <x:c r="F135" s="58" t="str">
        <x:v>[34037, 45904]</x:v>
      </x:c>
      <x:c r="G135" s="57" t="n">
        <x:v>11867</x:v>
      </x:c>
      <x:c r="H135" s="58" t="str">
        <x:v>No corresponding executed estimate</x:v>
      </x:c>
      <x:c r="I135" s="58" t="str">
        <x:v>Not reported</x:v>
      </x:c>
      <x:c r="J135" s="57" t="n">
        <x:v>1</x:v>
      </x:c>
      <x:c r="K135" s="34" t="n">
        <x:v>0</x:v>
      </x:c>
      <x:c r="L135" s="34" t="n">
        <x:f>J135*K135</x:f>
        <x:v>0</x:v>
      </x:c>
      <x:c r="M135" s="33" t="str">
        <x:v>Not answered</x:v>
      </x:c>
      <x:c r="N135" s="35" t="str">
        <x:v>The run ends before any model response or scientific execution.</x:v>
      </x:c>
    </x:row>
    <x:row r="136" ht="48" customHeight="1">
      <x:c r="A136" s="32" t="str">
        <x:v>FR-0005</x:v>
      </x:c>
      <x:c r="B136" s="33" t="str">
        <x:v>BioMaster</x:v>
      </x:c>
      <x:c r="C136" s="33" t="str">
        <x:v>A21</x:v>
      </x:c>
      <x:c r="D136" s="33" t="str">
        <x:v>SpyAD: putative 50% protective IgG threshold (RLU/mL)</x:v>
      </x:c>
      <x:c r="E136" s="57" t="n">
        <x:v>65454</x:v>
      </x:c>
      <x:c r="F136" s="58" t="str">
        <x:v>[54748, 89448]</x:v>
      </x:c>
      <x:c r="G136" s="57" t="n">
        <x:v>34700</x:v>
      </x:c>
      <x:c r="H136" s="58" t="str">
        <x:v>No corresponding executed estimate</x:v>
      </x:c>
      <x:c r="I136" s="58" t="str">
        <x:v>Not reported</x:v>
      </x:c>
      <x:c r="J136" s="57" t="n">
        <x:v>1</x:v>
      </x:c>
      <x:c r="K136" s="34" t="n">
        <x:v>0</x:v>
      </x:c>
      <x:c r="L136" s="34" t="n">
        <x:f>J136*K136</x:f>
        <x:v>0</x:v>
      </x:c>
      <x:c r="M136" s="33" t="str">
        <x:v>Not answered</x:v>
      </x:c>
      <x:c r="N136" s="35" t="str">
        <x:v>The run ends before any model response or scientific execution.</x:v>
      </x:c>
    </x:row>
    <x:row r="137" ht="48" customHeight="1">
      <x:c r="A137" s="32" t="str">
        <x:v>FR-0005</x:v>
      </x:c>
      <x:c r="B137" s="33" t="str">
        <x:v>BioMaster</x:v>
      </x:c>
      <x:c r="C137" s="33" t="str">
        <x:v>A22</x:v>
      </x:c>
      <x:c r="D137" s="33" t="str">
        <x:v>SpyCEP: putative 50% protective IgG threshold (RLU/mL)</x:v>
      </x:c>
      <x:c r="E137" s="57" t="n">
        <x:v>70643</x:v>
      </x:c>
      <x:c r="F137" s="58" t="str">
        <x:v>[61509, 82577]</x:v>
      </x:c>
      <x:c r="G137" s="57" t="n">
        <x:v>21068</x:v>
      </x:c>
      <x:c r="H137" s="58" t="str">
        <x:v>No corresponding executed estimate</x:v>
      </x:c>
      <x:c r="I137" s="58" t="str">
        <x:v>Not reported</x:v>
      </x:c>
      <x:c r="J137" s="57" t="n">
        <x:v>1</x:v>
      </x:c>
      <x:c r="K137" s="34" t="n">
        <x:v>0</x:v>
      </x:c>
      <x:c r="L137" s="34" t="n">
        <x:f>J137*K137</x:f>
        <x:v>0</x:v>
      </x:c>
      <x:c r="M137" s="33" t="str">
        <x:v>Not answered</x:v>
      </x:c>
      <x:c r="N137" s="35" t="str">
        <x:v>The run ends before any model response or scientific execution.</x:v>
      </x:c>
    </x:row>
    <x:row r="138" ht="48" customHeight="1">
      <x:c r="A138" s="32" t="str">
        <x:v>FR-0005</x:v>
      </x:c>
      <x:c r="B138" s="33" t="str">
        <x:v>BioMaster</x:v>
      </x:c>
      <x:c r="C138" s="33" t="str">
        <x:v>A23</x:v>
      </x:c>
      <x:c r="D138" s="33" t="str">
        <x:v>Participants with baseline IgG above the SLO 50% protective threshold</x:v>
      </x:c>
      <x:c r="E138" s="57" t="n">
        <x:v>44</x:v>
      </x:c>
      <x:c r="F138" s="58" t="str">
        <x:v>Not specified</x:v>
      </x:c>
      <x:c r="G138" s="57" t="n">
        <x:v>0</x:v>
      </x:c>
      <x:c r="H138" s="58" t="str">
        <x:v>No corresponding executed estimate</x:v>
      </x:c>
      <x:c r="I138" s="58" t="str">
        <x:v>Not reported</x:v>
      </x:c>
      <x:c r="J138" s="57" t="n">
        <x:v>1</x:v>
      </x:c>
      <x:c r="K138" s="34" t="n">
        <x:v>0</x:v>
      </x:c>
      <x:c r="L138" s="34" t="n">
        <x:f>J138*K138</x:f>
        <x:v>0</x:v>
      </x:c>
      <x:c r="M138" s="33" t="str">
        <x:v>Not answered</x:v>
      </x:c>
      <x:c r="N138" s="35" t="str">
        <x:v>The run ends before any model response or scientific execution.</x:v>
      </x:c>
    </x:row>
    <x:row r="139" ht="48" customHeight="1">
      <x:c r="A139" s="32" t="str">
        <x:v>FR-0005</x:v>
      </x:c>
      <x:c r="B139" s="33" t="str">
        <x:v>BioMaster</x:v>
      </x:c>
      <x:c r="C139" s="33" t="str">
        <x:v>A24</x:v>
      </x:c>
      <x:c r="D139" s="33" t="str">
        <x:v>Participants with baseline IgG above the SpyAD 50% protective threshold</x:v>
      </x:c>
      <x:c r="E139" s="57" t="n">
        <x:v>43</x:v>
      </x:c>
      <x:c r="F139" s="58" t="str">
        <x:v>Not specified</x:v>
      </x:c>
      <x:c r="G139" s="57" t="n">
        <x:v>0</x:v>
      </x:c>
      <x:c r="H139" s="58" t="str">
        <x:v>No corresponding executed estimate</x:v>
      </x:c>
      <x:c r="I139" s="58" t="str">
        <x:v>Not reported</x:v>
      </x:c>
      <x:c r="J139" s="57" t="n">
        <x:v>1</x:v>
      </x:c>
      <x:c r="K139" s="34" t="n">
        <x:v>0</x:v>
      </x:c>
      <x:c r="L139" s="34" t="n">
        <x:f>J139*K139</x:f>
        <x:v>0</x:v>
      </x:c>
      <x:c r="M139" s="33" t="str">
        <x:v>Not answered</x:v>
      </x:c>
      <x:c r="N139" s="35" t="str">
        <x:v>The run ends before any model response or scientific execution.</x:v>
      </x:c>
    </x:row>
    <x:row r="140" ht="48" customHeight="1">
      <x:c r="A140" s="32" t="str">
        <x:v>FR-0005</x:v>
      </x:c>
      <x:c r="B140" s="33" t="str">
        <x:v>BioMaster</x:v>
      </x:c>
      <x:c r="C140" s="33" t="str">
        <x:v>A25</x:v>
      </x:c>
      <x:c r="D140" s="33" t="str">
        <x:v>Participants with baseline IgG above the SpyCEP 50% protective threshold</x:v>
      </x:c>
      <x:c r="E140" s="57" t="n">
        <x:v>66</x:v>
      </x:c>
      <x:c r="F140" s="58" t="str">
        <x:v>Not specified</x:v>
      </x:c>
      <x:c r="G140" s="57" t="n">
        <x:v>0</x:v>
      </x:c>
      <x:c r="H140" s="58" t="str">
        <x:v>No corresponding executed estimate</x:v>
      </x:c>
      <x:c r="I140" s="58" t="str">
        <x:v>Not reported</x:v>
      </x:c>
      <x:c r="J140" s="57" t="n">
        <x:v>1</x:v>
      </x:c>
      <x:c r="K140" s="34" t="n">
        <x:v>0</x:v>
      </x:c>
      <x:c r="L140" s="34" t="n">
        <x:f>J140*K140</x:f>
        <x:v>0</x:v>
      </x:c>
      <x:c r="M140" s="33" t="str">
        <x:v>Not answered</x:v>
      </x:c>
      <x:c r="N140" s="35" t="str">
        <x:v>The run ends before any model response or scientific execution.</x:v>
      </x:c>
    </x:row>
    <x:row r="141" ht="48" customHeight="1">
      <x:c r="A141" s="32" t="str">
        <x:v>FR-0005</x:v>
      </x:c>
      <x:c r="B141" s="33" t="str">
        <x:v>BioMaster</x:v>
      </x:c>
      <x:c r="C141" s="33" t="str">
        <x:v>A26</x:v>
      </x:c>
      <x:c r="D141" s="33" t="str">
        <x:v>OR for a 45-day event with high responses to at least two versus one antigen at the 33% threshold</x:v>
      </x:c>
      <x:c r="E141" s="59" t="n">
        <x:v>0.47</x:v>
      </x:c>
      <x:c r="F141" s="58" t="str">
        <x:v>[0.25, 0.86]</x:v>
      </x:c>
      <x:c r="G141" s="59" t="n">
        <x:v>0.61</x:v>
      </x:c>
      <x:c r="H141" s="58" t="str">
        <x:v>No corresponding executed estimate</x:v>
      </x:c>
      <x:c r="I141" s="58" t="str">
        <x:v>Not reported</x:v>
      </x:c>
      <x:c r="J141" s="57" t="n">
        <x:v>1</x:v>
      </x:c>
      <x:c r="K141" s="34" t="n">
        <x:v>0</x:v>
      </x:c>
      <x:c r="L141" s="34" t="n">
        <x:f>J141*K141</x:f>
        <x:v>0</x:v>
      </x:c>
      <x:c r="M141" s="33" t="str">
        <x:v>Not answered</x:v>
      </x:c>
      <x:c r="N141" s="35" t="str">
        <x:v>The run ends before any model response or scientific execution.</x:v>
      </x:c>
    </x:row>
    <x:row r="142" ht="48" customHeight="1">
      <x:c r="A142" s="32" t="str">
        <x:v>FR-0005</x:v>
      </x:c>
      <x:c r="B142" s="33" t="str">
        <x:v>BioMaster</x:v>
      </x:c>
      <x:c r="C142" s="33" t="str">
        <x:v>A27</x:v>
      </x:c>
      <x:c r="D142" s="33" t="str">
        <x:v>Any culture-confirmed events in the fully adjusted Andersen-Gill model</x:v>
      </x:c>
      <x:c r="E142" s="57" t="n">
        <x:v>165</x:v>
      </x:c>
      <x:c r="F142" s="58" t="str">
        <x:v>Not specified</x:v>
      </x:c>
      <x:c r="G142" s="57" t="n">
        <x:v>0</x:v>
      </x:c>
      <x:c r="H142" s="58" t="str">
        <x:v>No corresponding executed estimate</x:v>
      </x:c>
      <x:c r="I142" s="58" t="str">
        <x:v>Not reported</x:v>
      </x:c>
      <x:c r="J142" s="57" t="n">
        <x:v>1</x:v>
      </x:c>
      <x:c r="K142" s="34" t="n">
        <x:v>0</x:v>
      </x:c>
      <x:c r="L142" s="34" t="n">
        <x:f>J142*K142</x:f>
        <x:v>0</x:v>
      </x:c>
      <x:c r="M142" s="33" t="str">
        <x:v>Not answered</x:v>
      </x:c>
      <x:c r="N142" s="35" t="str">
        <x:v>The run ends before any model response or scientific execution.</x:v>
      </x:c>
    </x:row>
    <x:row r="143" ht="67.5" customHeight="1">
      <x:c r="A143" s="32" t="str">
        <x:v>FR-0005</x:v>
      </x:c>
      <x:c r="B143" s="33" t="str">
        <x:v>BioMaster</x:v>
      </x:c>
      <x:c r="C143" s="33" t="str">
        <x:v>A28</x:v>
      </x:c>
      <x:c r="D143" s="33" t="str">
        <x:v>SLO: HR for any culture-confirmed event per 1 log10 IgG above the breakpoint, adjusted for age group, sex and household size with repeated/household clustering</x:v>
      </x:c>
      <x:c r="E143" s="59" t="n">
        <x:v>0.04</x:v>
      </x:c>
      <x:c r="F143" s="58" t="str">
        <x:v>[0.01, 0.23]</x:v>
      </x:c>
      <x:c r="G143" s="59" t="n">
        <x:v>0.22</x:v>
      </x:c>
      <x:c r="H143" s="58" t="str">
        <x:v>No corresponding executed estimate</x:v>
      </x:c>
      <x:c r="I143" s="58" t="str">
        <x:v>Not reported</x:v>
      </x:c>
      <x:c r="J143" s="57" t="n">
        <x:v>2</x:v>
      </x:c>
      <x:c r="K143" s="34" t="n">
        <x:v>0</x:v>
      </x:c>
      <x:c r="L143" s="34" t="n">
        <x:f>J143*K143</x:f>
        <x:v>0</x:v>
      </x:c>
      <x:c r="M143" s="33" t="str">
        <x:v>Not answered</x:v>
      </x:c>
      <x:c r="N143" s="35" t="str">
        <x:v>The run ends before any model response or scientific execution.</x:v>
      </x:c>
    </x:row>
    <x:row r="144" ht="54" customHeight="1">
      <x:c r="A144" s="32" t="str">
        <x:v>FR-0005</x:v>
      </x:c>
      <x:c r="B144" s="33" t="str">
        <x:v>BioMaster</x:v>
      </x:c>
      <x:c r="C144" s="33" t="str">
        <x:v>A29</x:v>
      </x:c>
      <x:c r="D144" s="33" t="str">
        <x:v>SpyAD: HR for any culture-confirmed event per 1 log10 IgG above the breakpoint under the fully adjusted model</x:v>
      </x:c>
      <x:c r="E144" s="59" t="n">
        <x:v>0.29</x:v>
      </x:c>
      <x:c r="F144" s="58" t="str">
        <x:v>[0.16, 0.53]</x:v>
      </x:c>
      <x:c r="G144" s="59" t="n">
        <x:v>0.37</x:v>
      </x:c>
      <x:c r="H144" s="58" t="str">
        <x:v>No corresponding executed estimate</x:v>
      </x:c>
      <x:c r="I144" s="58" t="str">
        <x:v>Not reported</x:v>
      </x:c>
      <x:c r="J144" s="57" t="n">
        <x:v>2</x:v>
      </x:c>
      <x:c r="K144" s="34" t="n">
        <x:v>0</x:v>
      </x:c>
      <x:c r="L144" s="34" t="n">
        <x:f>J144*K144</x:f>
        <x:v>0</x:v>
      </x:c>
      <x:c r="M144" s="33" t="str">
        <x:v>Not answered</x:v>
      </x:c>
      <x:c r="N144" s="35" t="str">
        <x:v>The run ends before any model response or scientific execution.</x:v>
      </x:c>
    </x:row>
    <x:row r="145" ht="54" customHeight="1">
      <x:c r="A145" s="32" t="str">
        <x:v>FR-0005</x:v>
      </x:c>
      <x:c r="B145" s="33" t="str">
        <x:v>BioMaster</x:v>
      </x:c>
      <x:c r="C145" s="33" t="str">
        <x:v>A30</x:v>
      </x:c>
      <x:c r="D145" s="33" t="str">
        <x:v>SpyCEP: HR for any culture-confirmed event per 1 log10 IgG above the breakpoint under the fully adjusted model</x:v>
      </x:c>
      <x:c r="E145" s="59" t="n">
        <x:v>0.38</x:v>
      </x:c>
      <x:c r="F145" s="58" t="str">
        <x:v>[0.16, 0.9]</x:v>
      </x:c>
      <x:c r="G145" s="59" t="n">
        <x:v>0.74</x:v>
      </x:c>
      <x:c r="H145" s="58" t="str">
        <x:v>No corresponding executed estimate</x:v>
      </x:c>
      <x:c r="I145" s="58" t="str">
        <x:v>Not reported</x:v>
      </x:c>
      <x:c r="J145" s="57" t="n">
        <x:v>2</x:v>
      </x:c>
      <x:c r="K145" s="34" t="n">
        <x:v>0</x:v>
      </x:c>
      <x:c r="L145" s="34" t="n">
        <x:f>J145*K145</x:f>
        <x:v>0</x:v>
      </x:c>
      <x:c r="M145" s="33" t="str">
        <x:v>Not answered</x:v>
      </x:c>
      <x:c r="N145" s="35" t="str">
        <x:v>The run ends before any model response or scientific execution.</x:v>
      </x:c>
    </x:row>
    <x:row r="146" ht="48" customHeight="1">
      <x:c r="A146" s="32" t="str">
        <x:v>FR-0005</x:v>
      </x:c>
      <x:c r="B146" s="33" t="str">
        <x:v>BioMaster</x:v>
      </x:c>
      <x:c r="C146" s="33" t="str">
        <x:v>A31</x:v>
      </x:c>
      <x:c r="D146" s="33" t="str">
        <x:v>SLO: HR for culture-confirmed carriage in the fully adjusted Andersen-Gill model</x:v>
      </x:c>
      <x:c r="E146" s="59" t="n">
        <x:v>0.01</x:v>
      </x:c>
      <x:c r="F146" s="58" t="str">
        <x:v>[0, 0.13]</x:v>
      </x:c>
      <x:c r="G146" s="59" t="n">
        <x:v>0.13</x:v>
      </x:c>
      <x:c r="H146" s="58" t="str">
        <x:v>No corresponding executed estimate</x:v>
      </x:c>
      <x:c r="I146" s="58" t="str">
        <x:v>Not reported</x:v>
      </x:c>
      <x:c r="J146" s="57" t="n">
        <x:v>1</x:v>
      </x:c>
      <x:c r="K146" s="34" t="n">
        <x:v>0</x:v>
      </x:c>
      <x:c r="L146" s="34" t="n">
        <x:f>J146*K146</x:f>
        <x:v>0</x:v>
      </x:c>
      <x:c r="M146" s="33" t="str">
        <x:v>Not answered</x:v>
      </x:c>
      <x:c r="N146" s="35" t="str">
        <x:v>The run ends before any model response or scientific execution.</x:v>
      </x:c>
    </x:row>
    <x:row r="147" ht="48" customHeight="1">
      <x:c r="A147" s="32" t="str">
        <x:v>FR-0005</x:v>
      </x:c>
      <x:c r="B147" s="33" t="str">
        <x:v>BioMaster</x:v>
      </x:c>
      <x:c r="C147" s="33" t="str">
        <x:v>A32</x:v>
      </x:c>
      <x:c r="D147" s="33" t="str">
        <x:v>SpyAD: HR for culture-confirmed carriage in the fully adjusted Andersen-Gill model</x:v>
      </x:c>
      <x:c r="E147" s="59" t="n">
        <x:v>0.18</x:v>
      </x:c>
      <x:c r="F147" s="58" t="str">
        <x:v>[0.08, 0.41]</x:v>
      </x:c>
      <x:c r="G147" s="59" t="n">
        <x:v>0.33</x:v>
      </x:c>
      <x:c r="H147" s="58" t="str">
        <x:v>No corresponding executed estimate</x:v>
      </x:c>
      <x:c r="I147" s="58" t="str">
        <x:v>Not reported</x:v>
      </x:c>
      <x:c r="J147" s="57" t="n">
        <x:v>1</x:v>
      </x:c>
      <x:c r="K147" s="34" t="n">
        <x:v>0</x:v>
      </x:c>
      <x:c r="L147" s="34" t="n">
        <x:f>J147*K147</x:f>
        <x:v>0</x:v>
      </x:c>
      <x:c r="M147" s="33" t="str">
        <x:v>Not answered</x:v>
      </x:c>
      <x:c r="N147" s="35" t="str">
        <x:v>The run ends before any model response or scientific execution.</x:v>
      </x:c>
    </x:row>
    <x:row r="148" ht="48" customHeight="1">
      <x:c r="A148" s="32" t="str">
        <x:v>FR-0005</x:v>
      </x:c>
      <x:c r="B148" s="33" t="str">
        <x:v>BioMaster</x:v>
      </x:c>
      <x:c r="C148" s="33" t="str">
        <x:v>A33</x:v>
      </x:c>
      <x:c r="D148" s="33" t="str">
        <x:v>SpyCEP: HR for culture-confirmed carriage in the fully adjusted Andersen-Gill model</x:v>
      </x:c>
      <x:c r="E148" s="59" t="n">
        <x:v>0.2</x:v>
      </x:c>
      <x:c r="F148" s="58" t="str">
        <x:v>[0.09, 0.49]</x:v>
      </x:c>
      <x:c r="G148" s="59" t="n">
        <x:v>0.4</x:v>
      </x:c>
      <x:c r="H148" s="58" t="str">
        <x:v>No corresponding executed estimate</x:v>
      </x:c>
      <x:c r="I148" s="58" t="str">
        <x:v>Not reported</x:v>
      </x:c>
      <x:c r="J148" s="57" t="n">
        <x:v>1</x:v>
      </x:c>
      <x:c r="K148" s="34" t="n">
        <x:v>0</x:v>
      </x:c>
      <x:c r="L148" s="34" t="n">
        <x:f>J148*K148</x:f>
        <x:v>0</x:v>
      </x:c>
      <x:c r="M148" s="33" t="str">
        <x:v>Not answered</x:v>
      </x:c>
      <x:c r="N148" s="35" t="str">
        <x:v>The run ends before any model response or scientific execution.</x:v>
      </x:c>
    </x:row>
    <x:row r="149" ht="48" customHeight="1">
      <x:c r="A149" s="40" t="str">
        <x:v>FR-0001</x:v>
      </x:c>
      <x:c r="B149" s="41" t="str">
        <x:v>Biomni</x:v>
      </x:c>
      <x:c r="C149" s="41" t="str">
        <x:v>A01</x:v>
      </x:c>
      <x:c r="D149" s="41" t="str">
        <x:v>Unique participants with CGM data in the public subset</x:v>
      </x:c>
      <x:c r="E149" s="54" t="n">
        <x:v>38</x:v>
      </x:c>
      <x:c r="F149" s="55" t="str">
        <x:v>Not specified</x:v>
      </x:c>
      <x:c r="G149" s="55" t="str">
        <x:v>Exact count</x:v>
      </x:c>
      <x:c r="H149" s="54" t="n">
        <x:v>38</x:v>
      </x:c>
      <x:c r="I149" s="55" t="str">
        <x:v>Not reported</x:v>
      </x:c>
      <x:c r="J149" s="54" t="n">
        <x:v>1</x:v>
      </x:c>
      <x:c r="K149" s="56" t="n">
        <x:v>1</x:v>
      </x:c>
      <x:c r="L149" s="56" t="n">
        <x:f>J149*K149</x:f>
        <x:v>1</x:v>
      </x:c>
      <x:c r="M149" s="41" t="str">
        <x:v>Comparable</x:v>
      </x:c>
      <x:c r="N149" s="41" t="str">
        <x:v>Executed and replayed exact coverage: 38 participants and 393 seven-standard-meal curves; results.json and report.md.</x:v>
      </x:c>
    </x:row>
    <x:row r="150" ht="48" customHeight="1">
      <x:c r="A150" s="32" t="str">
        <x:v>FR-0001</x:v>
      </x:c>
      <x:c r="B150" s="33" t="str">
        <x:v>Biomni</x:v>
      </x:c>
      <x:c r="C150" s="33" t="str">
        <x:v>A02</x:v>
      </x:c>
      <x:c r="D150" s="33" t="str">
        <x:v>Glucose-response curves for the seven unmitigated standard meals</x:v>
      </x:c>
      <x:c r="E150" s="57" t="n">
        <x:v>393</x:v>
      </x:c>
      <x:c r="F150" s="58" t="str">
        <x:v>Not specified</x:v>
      </x:c>
      <x:c r="G150" s="58" t="str">
        <x:v>Exact count</x:v>
      </x:c>
      <x:c r="H150" s="57" t="n">
        <x:v>393</x:v>
      </x:c>
      <x:c r="I150" s="58" t="str">
        <x:v>Not reported</x:v>
      </x:c>
      <x:c r="J150" s="57" t="n">
        <x:v>1</x:v>
      </x:c>
      <x:c r="K150" s="34" t="n">
        <x:v>1</x:v>
      </x:c>
      <x:c r="L150" s="34" t="n">
        <x:f>J150*K150</x:f>
        <x:v>1</x:v>
      </x:c>
      <x:c r="M150" s="33" t="str">
        <x:v>Comparable</x:v>
      </x:c>
      <x:c r="N150" s="35" t="str">
        <x:v>Executed and replayed exact coverage: 38 participants and 393 seven-standard-meal curves; results.json and report.md.</x:v>
      </x:c>
    </x:row>
    <x:row r="151" ht="48" customHeight="1">
      <x:c r="A151" s="32" t="str">
        <x:v>FR-0001</x:v>
      </x:c>
      <x:c r="B151" s="33" t="str">
        <x:v>Biomni</x:v>
      </x:c>
      <x:c r="C151" s="33" t="str">
        <x:v>A03</x:v>
      </x:c>
      <x:c r="D151" s="33" t="str">
        <x:v>Potatoes: Pearson correlation of first versus second peak glucose increment; paired participants, n=21</x:v>
      </x:c>
      <x:c r="E151" s="59" t="n">
        <x:v>0.6909911814</x:v>
      </x:c>
      <x:c r="F151" s="58" t="str">
        <x:v>[0.369533, 0.864735]</x:v>
      </x:c>
      <x:c r="G151" s="59" t="n">
        <x:v>0.4952016496</x:v>
      </x:c>
      <x:c r="H151" s="58" t="str">
        <x:v>Different estimand; see verification</x:v>
      </x:c>
      <x:c r="I151" s="58" t="str">
        <x:v>Not reported</x:v>
      </x:c>
      <x:c r="J151" s="57" t="n">
        <x:v>1</x:v>
      </x:c>
      <x:c r="K151" s="34" t="n">
        <x:v>0</x:v>
      </x:c>
      <x:c r="L151" s="34" t="n">
        <x:f>J151*K151</x:f>
        <x:v>0</x:v>
      </x:c>
      <x:c r="M151" s="33" t="str">
        <x:v>Different estimand</x:v>
      </x:c>
      <x:c r="N151" s="35" t="str">
        <x:v>Reports pooled subject-meal iAUC repeat correlation, not Potatoes-specific peak-increment correlation; matching positive direction alone is insufficient.</x:v>
      </x:c>
    </x:row>
    <x:row r="152" ht="48" customHeight="1">
      <x:c r="A152" s="32" t="str">
        <x:v>FR-0001</x:v>
      </x:c>
      <x:c r="B152" s="33" t="str">
        <x:v>Biomni</x:v>
      </x:c>
      <x:c r="C152" s="33" t="str">
        <x:v>A04</x:v>
      </x:c>
      <x:c r="D152" s="33" t="str">
        <x:v>Within-participant Rice minus Beans mean peak glucose increment (mg/dL); 21 pairs</x:v>
      </x:c>
      <x:c r="E152" s="59" t="n">
        <x:v>39.2518017663</x:v>
      </x:c>
      <x:c r="F152" s="58" t="str">
        <x:v>[30.6632, 47.8404]</x:v>
      </x:c>
      <x:c r="G152" s="59" t="n">
        <x:v>17.1772122957</x:v>
      </x:c>
      <x:c r="H152" s="58" t="str">
        <x:v>No corresponding executed estimate</x:v>
      </x:c>
      <x:c r="I152" s="58" t="str">
        <x:v>Not reported</x:v>
      </x:c>
      <x:c r="J152" s="57" t="n">
        <x:v>1</x:v>
      </x:c>
      <x:c r="K152" s="34" t="n">
        <x:v>0</x:v>
      </x:c>
      <x:c r="L152" s="34" t="n">
        <x:f>J152*K152</x:f>
        <x:v>0</x:v>
      </x:c>
      <x:c r="M152" s="33" t="str">
        <x:v>Not answered</x:v>
      </x:c>
      <x:c r="N152" s="35" t="str">
        <x:v>No executed and reported within-participant Rice-minus-Beans mean peak-increment contrast.</x:v>
      </x:c>
    </x:row>
    <x:row r="153" ht="54" customHeight="1">
      <x:c r="A153" s="32" t="str">
        <x:v>FR-0001</x:v>
      </x:c>
      <x:c r="B153" s="33" t="str">
        <x:v>Biomni</x:v>
      </x:c>
      <x:c r="C153" s="33" t="str">
        <x:v>A05</x:v>
      </x:c>
      <x:c r="D153" s="33" t="str">
        <x:v>Potatoes: participant-mean peak increment, insulin-resistant minus insulin-sensitive (mg/dL); SSPG groups, n=14 versus 17</x:v>
      </x:c>
      <x:c r="E153" s="59" t="n">
        <x:v>22.9003192008</x:v>
      </x:c>
      <x:c r="F153" s="58" t="str">
        <x:v>[4.76207, 41.0386]</x:v>
      </x:c>
      <x:c r="G153" s="59" t="n">
        <x:v>36.2764959992</x:v>
      </x:c>
      <x:c r="H153" s="58" t="str">
        <x:v>Different estimand; see verification</x:v>
      </x:c>
      <x:c r="I153" s="58" t="str">
        <x:v>Not reported</x:v>
      </x:c>
      <x:c r="J153" s="57" t="n">
        <x:v>2</x:v>
      </x:c>
      <x:c r="K153" s="34" t="n">
        <x:v>0</x:v>
      </x:c>
      <x:c r="L153" s="34" t="n">
        <x:f>J153*K153</x:f>
        <x:v>0</x:v>
      </x:c>
      <x:c r="M153" s="33" t="str">
        <x:v>Different estimand</x:v>
      </x:c>
      <x:c r="N153" s="35" t="str">
        <x:v>Pooled continuous per-SD iAUC associations do not match meal-specific categorical peak-increment contrasts or the Potatoes/Grapes ratio correlation.</x:v>
      </x:c>
    </x:row>
    <x:row r="154" ht="54" customHeight="1">
      <x:c r="A154" s="32" t="str">
        <x:v>FR-0001</x:v>
      </x:c>
      <x:c r="B154" s="33" t="str">
        <x:v>Biomni</x:v>
      </x:c>
      <x:c r="C154" s="33" t="str">
        <x:v>A06</x:v>
      </x:c>
      <x:c r="D154" s="33" t="str">
        <x:v>Potatoes: OLS coefficient of insulin resistance for peak increment (mg/dL), adjusted for BMI, age and sex; n=29</x:v>
      </x:c>
      <x:c r="E154" s="59" t="n">
        <x:v>38.9480203973</x:v>
      </x:c>
      <x:c r="F154" s="58" t="str">
        <x:v>[17.4817, 60.4144]</x:v>
      </x:c>
      <x:c r="G154" s="59" t="n">
        <x:v>42.93273471</x:v>
      </x:c>
      <x:c r="H154" s="58" t="str">
        <x:v>Different estimand; see verification</x:v>
      </x:c>
      <x:c r="I154" s="58" t="str">
        <x:v>Not reported</x:v>
      </x:c>
      <x:c r="J154" s="57" t="n">
        <x:v>2</x:v>
      </x:c>
      <x:c r="K154" s="34" t="n">
        <x:v>0</x:v>
      </x:c>
      <x:c r="L154" s="34" t="n">
        <x:f>J154*K154</x:f>
        <x:v>0</x:v>
      </x:c>
      <x:c r="M154" s="33" t="str">
        <x:v>Different estimand</x:v>
      </x:c>
      <x:c r="N154" s="35" t="str">
        <x:v>Pooled continuous per-SD iAUC associations do not match meal-specific categorical peak-increment contrasts or the Potatoes/Grapes ratio correlation.</x:v>
      </x:c>
    </x:row>
    <x:row r="155" ht="54" customHeight="1">
      <x:c r="A155" s="32" t="str">
        <x:v>FR-0001</x:v>
      </x:c>
      <x:c r="B155" s="33" t="str">
        <x:v>Biomni</x:v>
      </x:c>
      <x:c r="C155" s="33" t="str">
        <x:v>A07</x:v>
      </x:c>
      <x:c r="D155" s="33" t="str">
        <x:v>Pasta: participant-mean peak increment, insulin-resistant minus insulin-sensitive (mg/dL); n=13 versus 9</x:v>
      </x:c>
      <x:c r="E155" s="59" t="n">
        <x:v>19.7260427339</x:v>
      </x:c>
      <x:c r="F155" s="58" t="str">
        <x:v>[-0.461107, 39.9132]</x:v>
      </x:c>
      <x:c r="G155" s="59" t="n">
        <x:v>40.3742991893</x:v>
      </x:c>
      <x:c r="H155" s="58" t="str">
        <x:v>Different estimand; see verification</x:v>
      </x:c>
      <x:c r="I155" s="58" t="str">
        <x:v>Not reported</x:v>
      </x:c>
      <x:c r="J155" s="57" t="n">
        <x:v>1</x:v>
      </x:c>
      <x:c r="K155" s="34" t="n">
        <x:v>0</x:v>
      </x:c>
      <x:c r="L155" s="34" t="n">
        <x:f>J155*K155</x:f>
        <x:v>0</x:v>
      </x:c>
      <x:c r="M155" s="33" t="str">
        <x:v>Different estimand</x:v>
      </x:c>
      <x:c r="N155" s="35" t="str">
        <x:v>Pooled continuous per-SD iAUC associations do not match meal-specific categorical peak-increment contrasts or the Potatoes/Grapes ratio correlation.</x:v>
      </x:c>
    </x:row>
    <x:row r="156" ht="54" customHeight="1">
      <x:c r="A156" s="32" t="str">
        <x:v>FR-0001</x:v>
      </x:c>
      <x:c r="B156" s="33" t="str">
        <x:v>Biomni</x:v>
      </x:c>
      <x:c r="C156" s="33" t="str">
        <x:v>A08</x:v>
      </x:c>
      <x:c r="D156" s="33" t="str">
        <x:v>Potatoes: participant-mean peak increment, dysfunctional minus normal beta-cell function (mg/dL); DI groups, n=11 versus 8</x:v>
      </x:c>
      <x:c r="E156" s="59" t="n">
        <x:v>26.7850824792</x:v>
      </x:c>
      <x:c r="F156" s="58" t="str">
        <x:v>[5.73288, 47.8373]</x:v>
      </x:c>
      <x:c r="G156" s="59" t="n">
        <x:v>42.1044051555</x:v>
      </x:c>
      <x:c r="H156" s="58" t="str">
        <x:v>Different estimand; see verification</x:v>
      </x:c>
      <x:c r="I156" s="58" t="str">
        <x:v>Not reported</x:v>
      </x:c>
      <x:c r="J156" s="57" t="n">
        <x:v>2</x:v>
      </x:c>
      <x:c r="K156" s="34" t="n">
        <x:v>0</x:v>
      </x:c>
      <x:c r="L156" s="34" t="n">
        <x:f>J156*K156</x:f>
        <x:v>0</x:v>
      </x:c>
      <x:c r="M156" s="33" t="str">
        <x:v>Different estimand</x:v>
      </x:c>
      <x:c r="N156" s="35" t="str">
        <x:v>Pooled continuous per-SD iAUC associations do not match meal-specific categorical peak-increment contrasts or the Potatoes/Grapes ratio correlation.</x:v>
      </x:c>
    </x:row>
    <x:row r="157" ht="48" customHeight="1">
      <x:c r="A157" s="32" t="str">
        <x:v>FR-0001</x:v>
      </x:c>
      <x:c r="B157" s="33" t="str">
        <x:v>Biomni</x:v>
      </x:c>
      <x:c r="C157" s="33" t="str">
        <x:v>A09</x:v>
      </x:c>
      <x:c r="D157" s="33" t="str">
        <x:v>Spearman correlation between participant-level Potatoes/Grapes peak-increment ratio and SSPG; n=31</x:v>
      </x:c>
      <x:c r="E157" s="59" t="n">
        <x:v>0.6728500891</x:v>
      </x:c>
      <x:c r="F157" s="58" t="str">
        <x:v>[0.40884, 0.802562]</x:v>
      </x:c>
      <x:c r="G157" s="59" t="n">
        <x:v>0.3937219199</x:v>
      </x:c>
      <x:c r="H157" s="58" t="str">
        <x:v>Different estimand; see verification</x:v>
      </x:c>
      <x:c r="I157" s="58" t="str">
        <x:v>Not reported</x:v>
      </x:c>
      <x:c r="J157" s="57" t="n">
        <x:v>2</x:v>
      </x:c>
      <x:c r="K157" s="34" t="n">
        <x:v>0</x:v>
      </x:c>
      <x:c r="L157" s="34" t="n">
        <x:f>J157*K157</x:f>
        <x:v>0</x:v>
      </x:c>
      <x:c r="M157" s="33" t="str">
        <x:v>Different estimand</x:v>
      </x:c>
      <x:c r="N157" s="35" t="str">
        <x:v>Pooled continuous per-SD iAUC associations do not match meal-specific categorical peak-increment contrasts or the Potatoes/Grapes ratio correlation.</x:v>
      </x:c>
    </x:row>
    <x:row r="158" ht="48" customHeight="1">
      <x:c r="A158" s="40" t="str">
        <x:v>FR-0002</x:v>
      </x:c>
      <x:c r="B158" s="41" t="str">
        <x:v>Biomni</x:v>
      </x:c>
      <x:c r="C158" s="41" t="str">
        <x:v>A1</x:v>
      </x:c>
      <x:c r="D158" s="41" t="str">
        <x:v>Participants with analyzable DNA sequencing</x:v>
      </x:c>
      <x:c r="E158" s="54" t="n">
        <x:v>89</x:v>
      </x:c>
      <x:c r="F158" s="55" t="str">
        <x:v>Not specified</x:v>
      </x:c>
      <x:c r="G158" s="54" t="n">
        <x:v>0</x:v>
      </x:c>
      <x:c r="H158" s="54" t="n">
        <x:v>89</x:v>
      </x:c>
      <x:c r="I158" s="55" t="str">
        <x:v>Not reported</x:v>
      </x:c>
      <x:c r="J158" s="54" t="n">
        <x:v>1</x:v>
      </x:c>
      <x:c r="K158" s="56" t="n">
        <x:v>1</x:v>
      </x:c>
      <x:c r="L158" s="56" t="n">
        <x:f>J158*K158</x:f>
        <x:v>1</x:v>
      </x:c>
      <x:c r="M158" s="41" t="str">
        <x:v>Comparable</x:v>
      </x:c>
      <x:c r="N158" s="41" t="str">
        <x:v>analysis_accounting.csv and console explicitly report 89 for the corresponding full-assay coverage; clean replay agrees.</x:v>
      </x:c>
    </x:row>
    <x:row r="159" ht="48" customHeight="1">
      <x:c r="A159" s="32" t="str">
        <x:v>FR-0002</x:v>
      </x:c>
      <x:c r="B159" s="33" t="str">
        <x:v>Biomni</x:v>
      </x:c>
      <x:c r="C159" s="33" t="str">
        <x:v>A2</x:v>
      </x:c>
      <x:c r="D159" s="33" t="str">
        <x:v>DNA sequencing samples across both study arms and visits</x:v>
      </x:c>
      <x:c r="E159" s="57" t="n">
        <x:v>127</x:v>
      </x:c>
      <x:c r="F159" s="58" t="str">
        <x:v>Not specified</x:v>
      </x:c>
      <x:c r="G159" s="57" t="n">
        <x:v>0</x:v>
      </x:c>
      <x:c r="H159" s="57" t="n">
        <x:v>127</x:v>
      </x:c>
      <x:c r="I159" s="58" t="str">
        <x:v>Not reported</x:v>
      </x:c>
      <x:c r="J159" s="57" t="n">
        <x:v>1</x:v>
      </x:c>
      <x:c r="K159" s="34" t="n">
        <x:v>1</x:v>
      </x:c>
      <x:c r="L159" s="34" t="n">
        <x:f>J159*K159</x:f>
        <x:v>1</x:v>
      </x:c>
      <x:c r="M159" s="33" t="str">
        <x:v>Comparable</x:v>
      </x:c>
      <x:c r="N159" s="35" t="str">
        <x:v>analysis_accounting.csv and console explicitly report 127 for the corresponding full-assay coverage; clean replay agrees.</x:v>
      </x:c>
    </x:row>
    <x:row r="160" ht="48" customHeight="1">
      <x:c r="A160" s="32" t="str">
        <x:v>FR-0002</x:v>
      </x:c>
      <x:c r="B160" s="33" t="str">
        <x:v>Biomni</x:v>
      </x:c>
      <x:c r="C160" s="33" t="str">
        <x:v>A3</x:v>
      </x:c>
      <x:c r="D160" s="33" t="str">
        <x:v>Participants with analyzable RNA sequencing</x:v>
      </x:c>
      <x:c r="E160" s="57" t="n">
        <x:v>70</x:v>
      </x:c>
      <x:c r="F160" s="58" t="str">
        <x:v>Not specified</x:v>
      </x:c>
      <x:c r="G160" s="57" t="n">
        <x:v>0</x:v>
      </x:c>
      <x:c r="H160" s="57" t="n">
        <x:v>70</x:v>
      </x:c>
      <x:c r="I160" s="58" t="str">
        <x:v>Not reported</x:v>
      </x:c>
      <x:c r="J160" s="57" t="n">
        <x:v>1</x:v>
      </x:c>
      <x:c r="K160" s="34" t="n">
        <x:v>1</x:v>
      </x:c>
      <x:c r="L160" s="34" t="n">
        <x:f>J160*K160</x:f>
        <x:v>1</x:v>
      </x:c>
      <x:c r="M160" s="33" t="str">
        <x:v>Comparable</x:v>
      </x:c>
      <x:c r="N160" s="35" t="str">
        <x:v>analysis_accounting.csv and console explicitly report 70 for the corresponding full-assay coverage; clean replay agrees.</x:v>
      </x:c>
    </x:row>
    <x:row r="161" ht="48" customHeight="1">
      <x:c r="A161" s="32" t="str">
        <x:v>FR-0002</x:v>
      </x:c>
      <x:c r="B161" s="33" t="str">
        <x:v>Biomni</x:v>
      </x:c>
      <x:c r="C161" s="33" t="str">
        <x:v>A4</x:v>
      </x:c>
      <x:c r="D161" s="33" t="str">
        <x:v>RNA sequencing samples across both study arms and visits</x:v>
      </x:c>
      <x:c r="E161" s="57" t="n">
        <x:v>86</x:v>
      </x:c>
      <x:c r="F161" s="58" t="str">
        <x:v>Not specified</x:v>
      </x:c>
      <x:c r="G161" s="57" t="n">
        <x:v>0</x:v>
      </x:c>
      <x:c r="H161" s="57" t="n">
        <x:v>86</x:v>
      </x:c>
      <x:c r="I161" s="58" t="str">
        <x:v>Not reported</x:v>
      </x:c>
      <x:c r="J161" s="57" t="n">
        <x:v>1</x:v>
      </x:c>
      <x:c r="K161" s="34" t="n">
        <x:v>1</x:v>
      </x:c>
      <x:c r="L161" s="34" t="n">
        <x:f>J161*K161</x:f>
        <x:v>1</x:v>
      </x:c>
      <x:c r="M161" s="33" t="str">
        <x:v>Comparable</x:v>
      </x:c>
      <x:c r="N161" s="35" t="str">
        <x:v>analysis_accounting.csv and console explicitly report 86 for the corresponding full-assay coverage; clean replay agrees.</x:v>
      </x:c>
    </x:row>
    <x:row r="162" ht="48" customHeight="1">
      <x:c r="A162" s="32" t="str">
        <x:v>FR-0002</x:v>
      </x:c>
      <x:c r="B162" s="33" t="str">
        <x:v>Biomni</x:v>
      </x:c>
      <x:c r="C162" s="33" t="str">
        <x:v>A5</x:v>
      </x:c>
      <x:c r="D162" s="33" t="str">
        <x:v>Distinct tetracycline ARGs detected across all day-0 DNA samples</x:v>
      </x:c>
      <x:c r="E162" s="57" t="n">
        <x:v>41</x:v>
      </x:c>
      <x:c r="F162" s="58" t="str">
        <x:v>Not specified</x:v>
      </x:c>
      <x:c r="G162" s="57" t="n">
        <x:v>5</x:v>
      </x:c>
      <x:c r="H162" s="58" t="str">
        <x:v>No corresponding executed estimate</x:v>
      </x:c>
      <x:c r="I162" s="58" t="str">
        <x:v>Not reported</x:v>
      </x:c>
      <x:c r="J162" s="57" t="n">
        <x:v>1</x:v>
      </x:c>
      <x:c r="K162" s="34" t="n">
        <x:v>0</x:v>
      </x:c>
      <x:c r="L162" s="34" t="n">
        <x:f>J162*K162</x:f>
        <x:v>0</x:v>
      </x:c>
      <x:c r="M162" s="33" t="str">
        <x:v>Not answered</x:v>
      </x:c>
      <x:c r="N162" s="35" t="str">
        <x:v>No executed estimate answering this reference estimand.</x:v>
      </x:c>
    </x:row>
    <x:row r="163" ht="48" customHeight="1">
      <x:c r="A163" s="32" t="str">
        <x:v>FR-0002</x:v>
      </x:c>
      <x:c r="B163" s="33" t="str">
        <x:v>Biomni</x:v>
      </x:c>
      <x:c r="C163" s="33" t="str">
        <x:v>A6</x:v>
      </x:c>
      <x:c r="D163" s="33" t="str">
        <x:v>Distinct tetracycline ARGs detected across all day-0 RNA samples</x:v>
      </x:c>
      <x:c r="E163" s="57" t="n">
        <x:v>17</x:v>
      </x:c>
      <x:c r="F163" s="58" t="str">
        <x:v>Not specified</x:v>
      </x:c>
      <x:c r="G163" s="57" t="n">
        <x:v>4</x:v>
      </x:c>
      <x:c r="H163" s="58" t="str">
        <x:v>No corresponding executed estimate</x:v>
      </x:c>
      <x:c r="I163" s="58" t="str">
        <x:v>Not reported</x:v>
      </x:c>
      <x:c r="J163" s="57" t="n">
        <x:v>1</x:v>
      </x:c>
      <x:c r="K163" s="34" t="n">
        <x:v>0</x:v>
      </x:c>
      <x:c r="L163" s="34" t="n">
        <x:f>J163*K163</x:f>
        <x:v>0</x:v>
      </x:c>
      <x:c r="M163" s="33" t="str">
        <x:v>Not answered</x:v>
      </x:c>
      <x:c r="N163" s="35" t="str">
        <x:v>No executed estimate answering this reference estimand.</x:v>
      </x:c>
    </x:row>
    <x:row r="164" ht="48" customHeight="1">
      <x:c r="A164" s="32" t="str">
        <x:v>FR-0002</x:v>
      </x:c>
      <x:c r="B164" s="33" t="str">
        <x:v>Biomni</x:v>
      </x:c>
      <x:c r="C164" s="33" t="str">
        <x:v>A7</x:v>
      </x:c>
      <x:c r="D164" s="33" t="str">
        <x:v>Day-0 DNA samples with at least one tetracycline ARG; proportion, 58/58</x:v>
      </x:c>
      <x:c r="E164" s="57" t="n">
        <x:v>1</x:v>
      </x:c>
      <x:c r="F164" s="58" t="str">
        <x:v>Not specified</x:v>
      </x:c>
      <x:c r="G164" s="59" t="n">
        <x:v>0.05</x:v>
      </x:c>
      <x:c r="H164" s="58" t="str">
        <x:v>No corresponding executed estimate</x:v>
      </x:c>
      <x:c r="I164" s="58" t="str">
        <x:v>Not reported</x:v>
      </x:c>
      <x:c r="J164" s="57" t="n">
        <x:v>1</x:v>
      </x:c>
      <x:c r="K164" s="34" t="n">
        <x:v>0</x:v>
      </x:c>
      <x:c r="L164" s="34" t="n">
        <x:f>J164*K164</x:f>
        <x:v>0</x:v>
      </x:c>
      <x:c r="M164" s="33" t="str">
        <x:v>Not answered</x:v>
      </x:c>
      <x:c r="N164" s="35" t="str">
        <x:v>No executed estimate answering this reference estimand.</x:v>
      </x:c>
    </x:row>
    <x:row r="165" ht="48" customHeight="1">
      <x:c r="A165" s="32" t="str">
        <x:v>FR-0002</x:v>
      </x:c>
      <x:c r="B165" s="33" t="str">
        <x:v>Biomni</x:v>
      </x:c>
      <x:c r="C165" s="33" t="str">
        <x:v>A8</x:v>
      </x:c>
      <x:c r="D165" s="33" t="str">
        <x:v>Day-0 RNA samples with at least one tetracycline ARG; proportion, 22/26</x:v>
      </x:c>
      <x:c r="E165" s="59" t="n">
        <x:v>0.85</x:v>
      </x:c>
      <x:c r="F165" s="58" t="str">
        <x:v>Not specified</x:v>
      </x:c>
      <x:c r="G165" s="59" t="n">
        <x:v>0.1</x:v>
      </x:c>
      <x:c r="H165" s="58" t="str">
        <x:v>No corresponding executed estimate</x:v>
      </x:c>
      <x:c r="I165" s="58" t="str">
        <x:v>Not reported</x:v>
      </x:c>
      <x:c r="J165" s="57" t="n">
        <x:v>1</x:v>
      </x:c>
      <x:c r="K165" s="34" t="n">
        <x:v>0</x:v>
      </x:c>
      <x:c r="L165" s="34" t="n">
        <x:f>J165*K165</x:f>
        <x:v>0</x:v>
      </x:c>
      <x:c r="M165" s="33" t="str">
        <x:v>Not answered</x:v>
      </x:c>
      <x:c r="N165" s="35" t="str">
        <x:v>No executed estimate answering this reference estimand.</x:v>
      </x:c>
    </x:row>
    <x:row r="166" ht="67.5" customHeight="1">
      <x:c r="A166" s="32" t="str">
        <x:v>FR-0002</x:v>
      </x:c>
      <x:c r="B166" s="33" t="str">
        <x:v>Biomni</x:v>
      </x:c>
      <x:c r="C166" s="33" t="str">
        <x:v>A9</x:v>
      </x:c>
      <x:c r="D166" s="33" t="str">
        <x:v>Within doxy-PEP: month 6 versus day 0 coefficient for DNA tetracycline ARG mass proportion; zero/one-inflated beta model, logit mu, adjusted for HIV and cephalosporin days</x:v>
      </x:c>
      <x:c r="E166" s="59" t="n">
        <x:v>0.45</x:v>
      </x:c>
      <x:c r="F166" s="58" t="str">
        <x:v>[0.19, 0.7]</x:v>
      </x:c>
      <x:c r="G166" s="59" t="n">
        <x:v>0.51</x:v>
      </x:c>
      <x:c r="H166" s="58" t="str">
        <x:v>Different estimand; see verification</x:v>
      </x:c>
      <x:c r="I166" s="58" t="str">
        <x:v>Not reported</x:v>
      </x:c>
      <x:c r="J166" s="57" t="n">
        <x:v>2</x:v>
      </x:c>
      <x:c r="K166" s="34" t="n">
        <x:v>0</x:v>
      </x:c>
      <x:c r="L166" s="34" t="n">
        <x:f>J166*K166</x:f>
        <x:v>0</x:v>
      </x:c>
      <x:c r="M166" s="33" t="str">
        <x:v>Different estimand</x:v>
      </x:c>
      <x:c r="N166" s="35" t="str">
        <x:v>Treatment-minus-control paired change of log10 absolute ARG mass is not the within-doxy time coefficient on the logit mass-proportion scale.</x:v>
      </x:c>
    </x:row>
    <x:row r="167" ht="67.5" customHeight="1">
      <x:c r="A167" s="32" t="str">
        <x:v>FR-0002</x:v>
      </x:c>
      <x:c r="B167" s="33" t="str">
        <x:v>Biomni</x:v>
      </x:c>
      <x:c r="C167" s="33" t="str">
        <x:v>A10</x:v>
      </x:c>
      <x:c r="D167" s="33" t="str">
        <x:v>Within doxy-PEP: month 6 versus day 0 coefficient for RNA tetracycline ARG expression-mass proportion; zero/one-inflated beta model, logit mu, adjusted for HIV and cephalosporin days</x:v>
      </x:c>
      <x:c r="E167" s="59" t="n">
        <x:v>1.5</x:v>
      </x:c>
      <x:c r="F167" s="58" t="str">
        <x:v>[0.94, 2]</x:v>
      </x:c>
      <x:c r="G167" s="59" t="n">
        <x:v>1.06</x:v>
      </x:c>
      <x:c r="H167" s="58" t="str">
        <x:v>Different estimand; see verification</x:v>
      </x:c>
      <x:c r="I167" s="58" t="str">
        <x:v>Not reported</x:v>
      </x:c>
      <x:c r="J167" s="57" t="n">
        <x:v>2</x:v>
      </x:c>
      <x:c r="K167" s="34" t="n">
        <x:v>0</x:v>
      </x:c>
      <x:c r="L167" s="34" t="n">
        <x:f>J167*K167</x:f>
        <x:v>0</x:v>
      </x:c>
      <x:c r="M167" s="33" t="str">
        <x:v>Different estimand</x:v>
      </x:c>
      <x:c r="N167" s="35" t="str">
        <x:v>Treatment-minus-control paired change of log10 absolute ARG mass is not the within-doxy time coefficient on the logit mass-proportion scale.</x:v>
      </x:c>
    </x:row>
    <x:row r="168" ht="67.5" customHeight="1">
      <x:c r="A168" s="32" t="str">
        <x:v>FR-0002</x:v>
      </x:c>
      <x:c r="B168" s="33" t="str">
        <x:v>Biomni</x:v>
      </x:c>
      <x:c r="C168" s="33" t="str">
        <x:v>A11</x:v>
      </x:c>
      <x:c r="D168" s="33" t="str">
        <x:v>Within doxy-PEP: month 6 versus day 0 coefficient for RNA MLS ARG expression-mass proportion; zero/one-inflated beta model, logit mu, adjusted for HIV and cephalosporin days</x:v>
      </x:c>
      <x:c r="E168" s="59" t="n">
        <x:v>-0.76</x:v>
      </x:c>
      <x:c r="F168" s="58" t="str">
        <x:v>[-1.37, -0.15]</x:v>
      </x:c>
      <x:c r="G168" s="59" t="n">
        <x:v>1.22</x:v>
      </x:c>
      <x:c r="H168" s="58" t="str">
        <x:v>Different estimand; see verification</x:v>
      </x:c>
      <x:c r="I168" s="58" t="str">
        <x:v>Not reported</x:v>
      </x:c>
      <x:c r="J168" s="57" t="n">
        <x:v>1</x:v>
      </x:c>
      <x:c r="K168" s="34" t="n">
        <x:v>0</x:v>
      </x:c>
      <x:c r="L168" s="34" t="n">
        <x:f>J168*K168</x:f>
        <x:v>0</x:v>
      </x:c>
      <x:c r="M168" s="33" t="str">
        <x:v>Different estimand</x:v>
      </x:c>
      <x:c r="N168" s="35" t="str">
        <x:v>Treatment-minus-control paired change of log10 absolute ARG mass is not the within-doxy time coefficient on the logit mass-proportion scale.</x:v>
      </x:c>
    </x:row>
    <x:row r="169" ht="54" customHeight="1">
      <x:c r="A169" s="32" t="str">
        <x:v>FR-0002</x:v>
      </x:c>
      <x:c r="B169" s="33" t="str">
        <x:v>Biomni</x:v>
      </x:c>
      <x:c r="C169" s="33" t="str">
        <x:v>A12</x:v>
      </x:c>
      <x:c r="D169" s="33" t="str">
        <x:v>All DNA samples: Spearman correlation of four cumulative doxycycline-dose categories with tetracycline ARG mass proportion</x:v>
      </x:c>
      <x:c r="E169" s="59" t="n">
        <x:v>0.23</x:v>
      </x:c>
      <x:c r="F169" s="58" t="str">
        <x:v>Not specified</x:v>
      </x:c>
      <x:c r="G169" s="59" t="n">
        <x:v>0.1</x:v>
      </x:c>
      <x:c r="H169" s="58" t="str">
        <x:v>Different estimand; see verification</x:v>
      </x:c>
      <x:c r="I169" s="58" t="str">
        <x:v>Not reported</x:v>
      </x:c>
      <x:c r="J169" s="57" t="n">
        <x:v>1</x:v>
      </x:c>
      <x:c r="K169" s="34" t="n">
        <x:v>0</x:v>
      </x:c>
      <x:c r="L169" s="34" t="n">
        <x:f>J169*K169</x:f>
        <x:v>0</x:v>
      </x:c>
      <x:c r="M169" s="33" t="str">
        <x:v>Different estimand</x:v>
      </x:c>
      <x:c r="N169" s="35" t="str">
        <x:v>Within-arm complete-pair Pearson correlation of continuous dose with absolute-mass change differs from all-sample categorized-dose Spearman correlation of proportion/richness.</x:v>
      </x:c>
    </x:row>
    <x:row r="170" ht="54" customHeight="1">
      <x:c r="A170" s="32" t="str">
        <x:v>FR-0002</x:v>
      </x:c>
      <x:c r="B170" s="33" t="str">
        <x:v>Biomni</x:v>
      </x:c>
      <x:c r="C170" s="33" t="str">
        <x:v>A13</x:v>
      </x:c>
      <x:c r="D170" s="33" t="str">
        <x:v>All RNA samples: Spearman correlation of four cumulative doxycycline-dose categories with expressed tetracycline ARG richness</x:v>
      </x:c>
      <x:c r="E170" s="59" t="n">
        <x:v>0.39</x:v>
      </x:c>
      <x:c r="F170" s="58" t="str">
        <x:v>Not specified</x:v>
      </x:c>
      <x:c r="G170" s="59" t="n">
        <x:v>0.15</x:v>
      </x:c>
      <x:c r="H170" s="58" t="str">
        <x:v>Different estimand; see verification</x:v>
      </x:c>
      <x:c r="I170" s="58" t="str">
        <x:v>Not reported</x:v>
      </x:c>
      <x:c r="J170" s="57" t="n">
        <x:v>1</x:v>
      </x:c>
      <x:c r="K170" s="34" t="n">
        <x:v>0</x:v>
      </x:c>
      <x:c r="L170" s="34" t="n">
        <x:f>J170*K170</x:f>
        <x:v>0</x:v>
      </x:c>
      <x:c r="M170" s="33" t="str">
        <x:v>Different estimand</x:v>
      </x:c>
      <x:c r="N170" s="35" t="str">
        <x:v>Within-arm complete-pair Pearson correlation of continuous dose with absolute-mass change differs from all-sample categorized-dose Spearman correlation of proportion/richness.</x:v>
      </x:c>
    </x:row>
    <x:row r="171" ht="54" customHeight="1">
      <x:c r="A171" s="32" t="str">
        <x:v>FR-0002</x:v>
      </x:c>
      <x:c r="B171" s="33" t="str">
        <x:v>Biomni</x:v>
      </x:c>
      <x:c r="C171" s="33" t="str">
        <x:v>A14</x:v>
      </x:c>
      <x:c r="D171" s="33" t="str">
        <x:v>All RNA samples: Spearman correlation of four cumulative doxycycline-dose categories with expressed tetracycline ARG mass proportion</x:v>
      </x:c>
      <x:c r="E171" s="59" t="n">
        <x:v>0.55</x:v>
      </x:c>
      <x:c r="F171" s="58" t="str">
        <x:v>Not specified</x:v>
      </x:c>
      <x:c r="G171" s="59" t="n">
        <x:v>0.15</x:v>
      </x:c>
      <x:c r="H171" s="58" t="str">
        <x:v>Different estimand; see verification</x:v>
      </x:c>
      <x:c r="I171" s="58" t="str">
        <x:v>Not reported</x:v>
      </x:c>
      <x:c r="J171" s="57" t="n">
        <x:v>1</x:v>
      </x:c>
      <x:c r="K171" s="34" t="n">
        <x:v>0</x:v>
      </x:c>
      <x:c r="L171" s="34" t="n">
        <x:f>J171*K171</x:f>
        <x:v>0</x:v>
      </x:c>
      <x:c r="M171" s="33" t="str">
        <x:v>Different estimand</x:v>
      </x:c>
      <x:c r="N171" s="35" t="str">
        <x:v>Within-arm complete-pair Pearson correlation of continuous dose with absolute-mass change differs from all-sample categorized-dose Spearman correlation of proportion/richness.</x:v>
      </x:c>
    </x:row>
    <x:row r="172" ht="48" customHeight="1">
      <x:c r="A172" s="40" t="str">
        <x:v>FR-0003</x:v>
      </x:c>
      <x:c r="B172" s="41" t="str">
        <x:v>Biomni</x:v>
      </x:c>
      <x:c r="C172" s="41" t="str">
        <x:v>A01</x:v>
      </x:c>
      <x:c r="D172" s="41" t="str">
        <x:v>Participants with all three target biopsies (baseline, weeks 24 and 52), both randomized arms</x:v>
      </x:c>
      <x:c r="E172" s="54" t="n">
        <x:v>20</x:v>
      </x:c>
      <x:c r="F172" s="55" t="str">
        <x:v>Not specified</x:v>
      </x:c>
      <x:c r="G172" s="54" t="n">
        <x:v>0</x:v>
      </x:c>
      <x:c r="H172" s="55" t="str">
        <x:v>No corresponding executed estimate</x:v>
      </x:c>
      <x:c r="I172" s="55" t="str">
        <x:v>Not reported</x:v>
      </x:c>
      <x:c r="J172" s="54" t="n">
        <x:v>1</x:v>
      </x:c>
      <x:c r="K172" s="56" t="n">
        <x:v>0</x:v>
      </x:c>
      <x:c r="L172" s="56" t="n">
        <x:f>J172*K172</x:f>
        <x:v>0</x:v>
      </x:c>
      <x:c r="M172" s="41" t="str">
        <x:v>Not answered</x:v>
      </x:c>
      <x:c r="N172" s="41" t="str">
        <x:v>The week-24 10/10 arm counts identify the same eligible set, but no 20-person aggregate E is explicitly produced; no aggregate total is explicitly produced.</x:v>
      </x:c>
    </x:row>
    <x:row r="173" ht="48" customHeight="1">
      <x:c r="A173" s="32" t="str">
        <x:v>FR-0003</x:v>
      </x:c>
      <x:c r="B173" s="33" t="str">
        <x:v>Biomni</x:v>
      </x:c>
      <x:c r="C173" s="33" t="str">
        <x:v>A02</x:v>
      </x:c>
      <x:c r="D173" s="33" t="str">
        <x:v>Biopsies from the 20 participants with all three target visits</x:v>
      </x:c>
      <x:c r="E173" s="57" t="n">
        <x:v>60</x:v>
      </x:c>
      <x:c r="F173" s="58" t="str">
        <x:v>Not specified</x:v>
      </x:c>
      <x:c r="G173" s="57" t="n">
        <x:v>0</x:v>
      </x:c>
      <x:c r="H173" s="58" t="str">
        <x:v>No corresponding executed estimate</x:v>
      </x:c>
      <x:c r="I173" s="58" t="str">
        <x:v>Not reported</x:v>
      </x:c>
      <x:c r="J173" s="57" t="n">
        <x:v>1</x:v>
      </x:c>
      <x:c r="K173" s="34" t="n">
        <x:v>0</x:v>
      </x:c>
      <x:c r="L173" s="34" t="n">
        <x:f>J173*K173</x:f>
        <x:v>0</x:v>
      </x:c>
      <x:c r="M173" s="33" t="str">
        <x:v>Not answered</x:v>
      </x:c>
      <x:c r="N173" s="35" t="str">
        <x:v>No executed estimate answering this reference estimand.</x:v>
      </x:c>
    </x:row>
    <x:row r="174" ht="54" customHeight="1">
      <x:c r="A174" s="32" t="str">
        <x:v>FR-0003</x:v>
      </x:c>
      <x:c r="B174" s="33" t="str">
        <x:v>Biomni</x:v>
      </x:c>
      <x:c r="C174" s="33" t="str">
        <x:v>A03</x:v>
      </x:c>
      <x:c r="D174" s="33" t="str">
        <x:v>ABMR probability: felzartamab minus placebo difference in group-median change from baseline to week 24, native scale</x:v>
      </x:c>
      <x:c r="E174" s="59" t="n">
        <x:v>-0.67</x:v>
      </x:c>
      <x:c r="F174" s="58" t="str">
        <x:v>Not specified</x:v>
      </x:c>
      <x:c r="G174" s="59" t="n">
        <x:v>0.35</x:v>
      </x:c>
      <x:c r="H174" s="58" t="str">
        <x:v>No corresponding executed estimate</x:v>
      </x:c>
      <x:c r="I174" s="58" t="str">
        <x:v>Not reported</x:v>
      </x:c>
      <x:c r="J174" s="57" t="n">
        <x:v>2</x:v>
      </x:c>
      <x:c r="K174" s="34" t="n">
        <x:v>0</x:v>
      </x:c>
      <x:c r="L174" s="34" t="n">
        <x:f>J174*K174</x:f>
        <x:v>0</x:v>
      </x:c>
      <x:c r="M174" s="33" t="str">
        <x:v>Different method</x:v>
      </x:c>
      <x:c r="N174" s="35" t="str">
        <x:v>Mean paired-change contrasts do not answer differences in timepoint group medians.</x:v>
      </x:c>
    </x:row>
    <x:row r="175" ht="54" customHeight="1">
      <x:c r="A175" s="32" t="str">
        <x:v>FR-0003</x:v>
      </x:c>
      <x:c r="B175" s="33" t="str">
        <x:v>Biomni</x:v>
      </x:c>
      <x:c r="C175" s="33" t="str">
        <x:v>A04</x:v>
      </x:c>
      <x:c r="D175" s="33" t="str">
        <x:v>ABMR probability: felzartamab minus placebo difference in group-median change from week 24 to week 52, native scale</x:v>
      </x:c>
      <x:c r="E175" s="59" t="n">
        <x:v>0.79</x:v>
      </x:c>
      <x:c r="F175" s="58" t="str">
        <x:v>Not specified</x:v>
      </x:c>
      <x:c r="G175" s="59" t="n">
        <x:v>0.45</x:v>
      </x:c>
      <x:c r="H175" s="58" t="str">
        <x:v>Different estimand; see verification</x:v>
      </x:c>
      <x:c r="I175" s="58" t="str">
        <x:v>Not reported</x:v>
      </x:c>
      <x:c r="J175" s="57" t="n">
        <x:v>2</x:v>
      </x:c>
      <x:c r="K175" s="34" t="n">
        <x:v>0</x:v>
      </x:c>
      <x:c r="L175" s="34" t="n">
        <x:f>J175*K175</x:f>
        <x:v>0</x:v>
      </x:c>
      <x:c r="M175" s="33" t="str">
        <x:v>Different estimand</x:v>
      </x:c>
      <x:c r="N175" s="35" t="str">
        <x:v>Baseline-to-week-52 paired change is not the week-24-to-52 between-arm median-change contrast.</x:v>
      </x:c>
    </x:row>
    <x:row r="176" ht="54" customHeight="1">
      <x:c r="A176" s="32" t="str">
        <x:v>FR-0003</x:v>
      </x:c>
      <x:c r="B176" s="33" t="str">
        <x:v>Biomni</x:v>
      </x:c>
      <x:c r="C176" s="33" t="str">
        <x:v>A05</x:v>
      </x:c>
      <x:c r="D176" s="33" t="str">
        <x:v>NK cell burden: felzartamab minus placebo difference in group-median change from baseline to week 24, native scale</x:v>
      </x:c>
      <x:c r="E176" s="59" t="n">
        <x:v>-0.8</x:v>
      </x:c>
      <x:c r="F176" s="58" t="str">
        <x:v>Not specified</x:v>
      </x:c>
      <x:c r="G176" s="59" t="n">
        <x:v>0.36</x:v>
      </x:c>
      <x:c r="H176" s="58" t="str">
        <x:v>No corresponding executed estimate</x:v>
      </x:c>
      <x:c r="I176" s="58" t="str">
        <x:v>Not reported</x:v>
      </x:c>
      <x:c r="J176" s="57" t="n">
        <x:v>1</x:v>
      </x:c>
      <x:c r="K176" s="34" t="n">
        <x:v>0</x:v>
      </x:c>
      <x:c r="L176" s="34" t="n">
        <x:f>J176*K176</x:f>
        <x:v>0</x:v>
      </x:c>
      <x:c r="M176" s="33" t="str">
        <x:v>Different method</x:v>
      </x:c>
      <x:c r="N176" s="35" t="str">
        <x:v>Mean paired-change contrasts do not answer differences in timepoint group medians.</x:v>
      </x:c>
    </x:row>
    <x:row r="177" ht="54" customHeight="1">
      <x:c r="A177" s="32" t="str">
        <x:v>FR-0003</x:v>
      </x:c>
      <x:c r="B177" s="33" t="str">
        <x:v>Biomni</x:v>
      </x:c>
      <x:c r="C177" s="33" t="str">
        <x:v>A06</x:v>
      </x:c>
      <x:c r="D177" s="33" t="str">
        <x:v>TCMR probability: felzartamab minus placebo difference in group-median change from baseline to week 24, native scale</x:v>
      </x:c>
      <x:c r="E177" s="59" t="n">
        <x:v>0.01</x:v>
      </x:c>
      <x:c r="F177" s="58" t="str">
        <x:v>Not specified</x:v>
      </x:c>
      <x:c r="G177" s="59" t="n">
        <x:v>0.05</x:v>
      </x:c>
      <x:c r="H177" s="58" t="str">
        <x:v>No corresponding executed estimate</x:v>
      </x:c>
      <x:c r="I177" s="58" t="str">
        <x:v>Not reported</x:v>
      </x:c>
      <x:c r="J177" s="57" t="n">
        <x:v>1</x:v>
      </x:c>
      <x:c r="K177" s="34" t="n">
        <x:v>0</x:v>
      </x:c>
      <x:c r="L177" s="34" t="n">
        <x:f>J177*K177</x:f>
        <x:v>0</x:v>
      </x:c>
      <x:c r="M177" s="33" t="str">
        <x:v>Different method</x:v>
      </x:c>
      <x:c r="N177" s="35" t="str">
        <x:v>Mean paired-change contrasts do not answer differences in timepoint group medians.</x:v>
      </x:c>
    </x:row>
    <x:row r="178" ht="48" customHeight="1">
      <x:c r="A178" s="32" t="str">
        <x:v>FR-0003</x:v>
      </x:c>
      <x:c r="B178" s="33" t="str">
        <x:v>Biomni</x:v>
      </x:c>
      <x:c r="C178" s="33" t="str">
        <x:v>A07</x:v>
      </x:c>
      <x:c r="D178" s="33" t="str">
        <x:v>Injury-repair-associated score: felzartamab minus placebo annual linear-trajectory slope difference</x:v>
      </x:c>
      <x:c r="E178" s="59" t="n">
        <x:v>-0.6</x:v>
      </x:c>
      <x:c r="F178" s="58" t="str">
        <x:v>[-1.1, -0.1]</x:v>
      </x:c>
      <x:c r="G178" s="57" t="n">
        <x:v>1</x:v>
      </x:c>
      <x:c r="H178" s="58" t="str">
        <x:v>No corresponding executed estimate</x:v>
      </x:c>
      <x:c r="I178" s="58" t="str">
        <x:v>Not reported</x:v>
      </x:c>
      <x:c r="J178" s="57" t="n">
        <x:v>1</x:v>
      </x:c>
      <x:c r="K178" s="34" t="n">
        <x:v>0</x:v>
      </x:c>
      <x:c r="L178" s="34" t="n">
        <x:f>J178*K178</x:f>
        <x:v>0</x:v>
      </x:c>
      <x:c r="M178" s="33" t="str">
        <x:v>Different method</x:v>
      </x:c>
      <x:c r="N178" s="35" t="str">
        <x:v>Separate endpoint change contrasts do not answer per-year trajectory slope coefficients.</x:v>
      </x:c>
    </x:row>
    <x:row r="179" ht="48" customHeight="1">
      <x:c r="A179" s="32" t="str">
        <x:v>FR-0003</x:v>
      </x:c>
      <x:c r="B179" s="33" t="str">
        <x:v>Biomni</x:v>
      </x:c>
      <x:c r="C179" s="33" t="str">
        <x:v>A08</x:v>
      </x:c>
      <x:c r="D179" s="33" t="str">
        <x:v>Injury-repair day-3 score: felzartamab minus placebo annual linear-trajectory slope difference</x:v>
      </x:c>
      <x:c r="E179" s="59" t="n">
        <x:v>-0.2</x:v>
      </x:c>
      <x:c r="F179" s="58" t="str">
        <x:v>[-0.37, -0.02]</x:v>
      </x:c>
      <x:c r="G179" s="59" t="n">
        <x:v>0.35</x:v>
      </x:c>
      <x:c r="H179" s="58" t="str">
        <x:v>No corresponding executed estimate</x:v>
      </x:c>
      <x:c r="I179" s="58" t="str">
        <x:v>Not reported</x:v>
      </x:c>
      <x:c r="J179" s="57" t="n">
        <x:v>2</x:v>
      </x:c>
      <x:c r="K179" s="34" t="n">
        <x:v>0</x:v>
      </x:c>
      <x:c r="L179" s="34" t="n">
        <x:f>J179*K179</x:f>
        <x:v>0</x:v>
      </x:c>
      <x:c r="M179" s="33" t="str">
        <x:v>Different method</x:v>
      </x:c>
      <x:c r="N179" s="35" t="str">
        <x:v>Separate endpoint change contrasts do not answer per-year trajectory slope coefficients.</x:v>
      </x:c>
    </x:row>
    <x:row r="180" ht="48" customHeight="1">
      <x:c r="A180" s="32" t="str">
        <x:v>FR-0003</x:v>
      </x:c>
      <x:c r="B180" s="33" t="str">
        <x:v>Biomni</x:v>
      </x:c>
      <x:c r="C180" s="33" t="str">
        <x:v>A09</x:v>
      </x:c>
      <x:c r="D180" s="33" t="str">
        <x:v>Injury-repair day-5 score: felzartamab minus placebo annual linear-trajectory slope difference</x:v>
      </x:c>
      <x:c r="E180" s="59" t="n">
        <x:v>-0.23</x:v>
      </x:c>
      <x:c r="F180" s="58" t="str">
        <x:v>[-0.41, -0.05]</x:v>
      </x:c>
      <x:c r="G180" s="59" t="n">
        <x:v>0.36</x:v>
      </x:c>
      <x:c r="H180" s="58" t="str">
        <x:v>No corresponding executed estimate</x:v>
      </x:c>
      <x:c r="I180" s="58" t="str">
        <x:v>Not reported</x:v>
      </x:c>
      <x:c r="J180" s="57" t="n">
        <x:v>2</x:v>
      </x:c>
      <x:c r="K180" s="34" t="n">
        <x:v>0</x:v>
      </x:c>
      <x:c r="L180" s="34" t="n">
        <x:f>J180*K180</x:f>
        <x:v>0</x:v>
      </x:c>
      <x:c r="M180" s="33" t="str">
        <x:v>Different method</x:v>
      </x:c>
      <x:c r="N180" s="35" t="str">
        <x:v>Separate endpoint change contrasts do not answer per-year trajectory slope coefficients.</x:v>
      </x:c>
    </x:row>
    <x:row r="181" ht="54" customHeight="1">
      <x:c r="A181" s="32" t="str">
        <x:v>FR-0003</x:v>
      </x:c>
      <x:c r="B181" s="33" t="str">
        <x:v>Biomni</x:v>
      </x:c>
      <x:c r="C181" s="33" t="str">
        <x:v>A10</x:v>
      </x:c>
      <x:c r="D181" s="33" t="str">
        <x:v>CXCL11: baseline-to-week-24 difference in log fold change under the published limma design (each arm change divided by 2)</x:v>
      </x:c>
      <x:c r="E181" s="59" t="n">
        <x:v>-0.85</x:v>
      </x:c>
      <x:c r="F181" s="58" t="str">
        <x:v>Not specified</x:v>
      </x:c>
      <x:c r="G181" s="59" t="n">
        <x:v>0.2</x:v>
      </x:c>
      <x:c r="H181" s="58" t="str">
        <x:v>No corresponding executed estimate</x:v>
      </x:c>
      <x:c r="I181" s="58" t="str">
        <x:v>Not reported</x:v>
      </x:c>
      <x:c r="J181" s="57" t="n">
        <x:v>1</x:v>
      </x:c>
      <x:c r="K181" s="34" t="n">
        <x:v>0</x:v>
      </x:c>
      <x:c r="L181" s="34" t="n">
        <x:f>J181*K181</x:f>
        <x:v>0</x:v>
      </x:c>
      <x:c r="M181" s="33" t="str">
        <x:v>Not answered</x:v>
      </x:c>
      <x:c r="N181" s="35" t="str">
        <x:v>No executed estimate answering this reference estimand.</x:v>
      </x:c>
    </x:row>
    <x:row r="182" ht="54" customHeight="1">
      <x:c r="A182" s="32" t="str">
        <x:v>FR-0003</x:v>
      </x:c>
      <x:c r="B182" s="33" t="str">
        <x:v>Biomni</x:v>
      </x:c>
      <x:c r="C182" s="33" t="str">
        <x:v>A11</x:v>
      </x:c>
      <x:c r="D182" s="33" t="str">
        <x:v>Negatively enriched ABMR/immune pathways at FDR &lt;0.05 in the specified multi-database GSEA, baseline to week 24</x:v>
      </x:c>
      <x:c r="E182" s="57" t="n">
        <x:v>12</x:v>
      </x:c>
      <x:c r="F182" s="58" t="str">
        <x:v>Not specified</x:v>
      </x:c>
      <x:c r="G182" s="57" t="n">
        <x:v>1</x:v>
      </x:c>
      <x:c r="H182" s="58" t="str">
        <x:v>No corresponding executed estimate</x:v>
      </x:c>
      <x:c r="I182" s="58" t="str">
        <x:v>Not reported</x:v>
      </x:c>
      <x:c r="J182" s="57" t="n">
        <x:v>1</x:v>
      </x:c>
      <x:c r="K182" s="34" t="n">
        <x:v>0</x:v>
      </x:c>
      <x:c r="L182" s="34" t="n">
        <x:f>J182*K182</x:f>
        <x:v>0</x:v>
      </x:c>
      <x:c r="M182" s="33" t="str">
        <x:v>Not answered</x:v>
      </x:c>
      <x:c r="N182" s="35" t="str">
        <x:v>No executed estimate answering this reference estimand.</x:v>
      </x:c>
    </x:row>
    <x:row r="183" ht="54" customHeight="1">
      <x:c r="A183" s="32" t="str">
        <x:v>FR-0003</x:v>
      </x:c>
      <x:c r="B183" s="33" t="str">
        <x:v>Biomni</x:v>
      </x:c>
      <x:c r="C183" s="33" t="str">
        <x:v>A12</x:v>
      </x:c>
      <x:c r="D183" s="33" t="str">
        <x:v>Genes annotated as injury-induced and downregulated among the top 20 genes ranked by unadjusted P, baseline to week 52</x:v>
      </x:c>
      <x:c r="E183" s="57" t="n">
        <x:v>17</x:v>
      </x:c>
      <x:c r="F183" s="58" t="str">
        <x:v>Not specified</x:v>
      </x:c>
      <x:c r="G183" s="57" t="n">
        <x:v>1</x:v>
      </x:c>
      <x:c r="H183" s="58" t="str">
        <x:v>No corresponding executed estimate</x:v>
      </x:c>
      <x:c r="I183" s="58" t="str">
        <x:v>Not reported</x:v>
      </x:c>
      <x:c r="J183" s="57" t="n">
        <x:v>1</x:v>
      </x:c>
      <x:c r="K183" s="34" t="n">
        <x:v>0</x:v>
      </x:c>
      <x:c r="L183" s="34" t="n">
        <x:f>J183*K183</x:f>
        <x:v>0</x:v>
      </x:c>
      <x:c r="M183" s="33" t="str">
        <x:v>Not answered</x:v>
      </x:c>
      <x:c r="N183" s="35" t="str">
        <x:v>No executed estimate answering this reference estimand.</x:v>
      </x:c>
    </x:row>
    <x:row r="184" ht="54" customHeight="1">
      <x:c r="A184" s="40" t="str">
        <x:v>FR-0004</x:v>
      </x:c>
      <x:c r="B184" s="41" t="str">
        <x:v>Biomni</x:v>
      </x:c>
      <x:c r="C184" s="41" t="str">
        <x:v>A1</x:v>
      </x:c>
      <x:c r="D184" s="41" t="str">
        <x:v>adjusted difference in VF MD yearly slope (dB/year) per 1-SD higher basal PBMC OCR in the entire treated POAG cohort</x:v>
      </x:c>
      <x:c r="E184" s="60" t="n">
        <x:v>0.186</x:v>
      </x:c>
      <x:c r="F184" s="55" t="str">
        <x:v>[0.1174, 0.2546]</x:v>
      </x:c>
      <x:c r="G184" s="60" t="n">
        <x:v>0.1372</x:v>
      </x:c>
      <x:c r="H184" s="55" t="str">
        <x:v>No corresponding executed estimate</x:v>
      </x:c>
      <x:c r="I184" s="55" t="str">
        <x:v>Not reported</x:v>
      </x:c>
      <x:c r="J184" s="54" t="n">
        <x:v>2</x:v>
      </x:c>
      <x:c r="K184" s="56" t="n">
        <x:v>0</x:v>
      </x:c>
      <x:c r="L184" s="56" t="n">
        <x:f>J184*K184</x:f>
        <x:v>0</x:v>
      </x:c>
      <x:c r="M184" s="41" t="str">
        <x:v>Not answered</x:v>
      </x:c>
      <x:c r="N184" s="41" t="str">
        <x:v>No executed scientific estimate answering this reference estimand. Reading a reference-like count from the input dictionary does not establish the corresponding analytic population.</x:v>
      </x:c>
    </x:row>
    <x:row r="185" ht="54" customHeight="1">
      <x:c r="A185" s="32" t="str">
        <x:v>FR-0004</x:v>
      </x:c>
      <x:c r="B185" s="33" t="str">
        <x:v>Biomni</x:v>
      </x:c>
      <x:c r="C185" s="33" t="str">
        <x:v>A2</x:v>
      </x:c>
      <x:c r="D185" s="33" t="str">
        <x:v>adjusted difference in VF MD yearly slope (dB/year) per 1-SD higher basal PBMC OCR among NTG eyes</x:v>
      </x:c>
      <x:c r="E185" s="59" t="n">
        <x:v>0.176</x:v>
      </x:c>
      <x:c r="F185" s="58" t="str">
        <x:v>[0.08388, 0.26812]</x:v>
      </x:c>
      <x:c r="G185" s="59" t="n">
        <x:v>0.18424</x:v>
      </x:c>
      <x:c r="H185" s="58" t="str">
        <x:v>No corresponding executed estimate</x:v>
      </x:c>
      <x:c r="I185" s="58" t="str">
        <x:v>Not reported</x:v>
      </x:c>
      <x:c r="J185" s="57" t="n">
        <x:v>1</x:v>
      </x:c>
      <x:c r="K185" s="34" t="n">
        <x:v>0</x:v>
      </x:c>
      <x:c r="L185" s="34" t="n">
        <x:f>J185*K185</x:f>
        <x:v>0</x:v>
      </x:c>
      <x:c r="M185" s="33" t="str">
        <x:v>Not answered</x:v>
      </x:c>
      <x:c r="N185" s="35" t="str">
        <x:v>No executed scientific estimate answering this reference estimand. Reading a reference-like count from the input dictionary does not establish the corresponding analytic population.</x:v>
      </x:c>
    </x:row>
    <x:row r="186" ht="54" customHeight="1">
      <x:c r="A186" s="32" t="str">
        <x:v>FR-0004</x:v>
      </x:c>
      <x:c r="B186" s="33" t="str">
        <x:v>Biomni</x:v>
      </x:c>
      <x:c r="C186" s="33" t="str">
        <x:v>A3</x:v>
      </x:c>
      <x:c r="D186" s="33" t="str">
        <x:v>adjusted difference in VF MD yearly slope (dB/year) per 1-SD higher basal PBMC OCR among HTG eyes</x:v>
      </x:c>
      <x:c r="E186" s="59" t="n">
        <x:v>0.197</x:v>
      </x:c>
      <x:c r="F186" s="58" t="str">
        <x:v>[0.07744, 0.31656]</x:v>
      </x:c>
      <x:c r="G186" s="59" t="n">
        <x:v>0.23912</x:v>
      </x:c>
      <x:c r="H186" s="58" t="str">
        <x:v>No corresponding executed estimate</x:v>
      </x:c>
      <x:c r="I186" s="58" t="str">
        <x:v>Not reported</x:v>
      </x:c>
      <x:c r="J186" s="57" t="n">
        <x:v>1</x:v>
      </x:c>
      <x:c r="K186" s="34" t="n">
        <x:v>0</x:v>
      </x:c>
      <x:c r="L186" s="34" t="n">
        <x:f>J186*K186</x:f>
        <x:v>0</x:v>
      </x:c>
      <x:c r="M186" s="33" t="str">
        <x:v>Not answered</x:v>
      </x:c>
      <x:c r="N186" s="35" t="str">
        <x:v>No executed scientific estimate answering this reference estimand. Reading a reference-like count from the input dictionary does not establish the corresponding analytic population.</x:v>
      </x:c>
    </x:row>
    <x:row r="187" ht="54" customHeight="1">
      <x:c r="A187" s="32" t="str">
        <x:v>FR-0004</x:v>
      </x:c>
      <x:c r="B187" s="33" t="str">
        <x:v>Biomni</x:v>
      </x:c>
      <x:c r="C187" s="33" t="str">
        <x:v>A4</x:v>
      </x:c>
      <x:c r="D187" s="33" t="str">
        <x:v>adjusted difference in VF MD yearly slope (dB/year) per 1-SD higher ATP-linked PBMC OCR in the entire treated POAG cohort</x:v>
      </x:c>
      <x:c r="E187" s="59" t="n">
        <x:v>0.199</x:v>
      </x:c>
      <x:c r="F187" s="58" t="str">
        <x:v>[0.13236, 0.26564]</x:v>
      </x:c>
      <x:c r="G187" s="59" t="n">
        <x:v>0.13328</x:v>
      </x:c>
      <x:c r="H187" s="58" t="str">
        <x:v>No corresponding executed estimate</x:v>
      </x:c>
      <x:c r="I187" s="58" t="str">
        <x:v>Not reported</x:v>
      </x:c>
      <x:c r="J187" s="57" t="n">
        <x:v>1</x:v>
      </x:c>
      <x:c r="K187" s="34" t="n">
        <x:v>0</x:v>
      </x:c>
      <x:c r="L187" s="34" t="n">
        <x:f>J187*K187</x:f>
        <x:v>0</x:v>
      </x:c>
      <x:c r="M187" s="33" t="str">
        <x:v>Not answered</x:v>
      </x:c>
      <x:c r="N187" s="35" t="str">
        <x:v>No executed scientific estimate answering this reference estimand. Reading a reference-like count from the input dictionary does not establish the corresponding analytic population.</x:v>
      </x:c>
    </x:row>
    <x:row r="188" ht="54" customHeight="1">
      <x:c r="A188" s="32" t="str">
        <x:v>FR-0004</x:v>
      </x:c>
      <x:c r="B188" s="33" t="str">
        <x:v>Biomni</x:v>
      </x:c>
      <x:c r="C188" s="33" t="str">
        <x:v>A5</x:v>
      </x:c>
      <x:c r="D188" s="33" t="str">
        <x:v>adjusted difference in VF MD yearly slope (dB/year) per 1-SD higher maximal PBMC OCR in the entire treated POAG cohort</x:v>
      </x:c>
      <x:c r="E188" s="59" t="n">
        <x:v>0.123</x:v>
      </x:c>
      <x:c r="F188" s="58" t="str">
        <x:v>[0.05244, 0.19356]</x:v>
      </x:c>
      <x:c r="G188" s="59" t="n">
        <x:v>0.14112</x:v>
      </x:c>
      <x:c r="H188" s="58" t="str">
        <x:v>No corresponding executed estimate</x:v>
      </x:c>
      <x:c r="I188" s="58" t="str">
        <x:v>Not reported</x:v>
      </x:c>
      <x:c r="J188" s="57" t="n">
        <x:v>1</x:v>
      </x:c>
      <x:c r="K188" s="34" t="n">
        <x:v>0</x:v>
      </x:c>
      <x:c r="L188" s="34" t="n">
        <x:f>J188*K188</x:f>
        <x:v>0</x:v>
      </x:c>
      <x:c r="M188" s="33" t="str">
        <x:v>Not answered</x:v>
      </x:c>
      <x:c r="N188" s="35" t="str">
        <x:v>No executed scientific estimate answering this reference estimand. Reading a reference-like count from the input dictionary does not establish the corresponding analytic population.</x:v>
      </x:c>
    </x:row>
    <x:row r="189" ht="54" customHeight="1">
      <x:c r="A189" s="32" t="str">
        <x:v>FR-0004</x:v>
      </x:c>
      <x:c r="B189" s="33" t="str">
        <x:v>Biomni</x:v>
      </x:c>
      <x:c r="C189" s="33" t="str">
        <x:v>A6</x:v>
      </x:c>
      <x:c r="D189" s="33" t="str">
        <x:v>adjusted difference in VF MD yearly slope (dB/year) per 1-SD higher PBMC reserve capacity in the entire treated POAG cohort</x:v>
      </x:c>
      <x:c r="E189" s="59" t="n">
        <x:v>0.108</x:v>
      </x:c>
      <x:c r="F189" s="58" t="str">
        <x:v>[0.03744, 0.17856]</x:v>
      </x:c>
      <x:c r="G189" s="59" t="n">
        <x:v>0.14112</x:v>
      </x:c>
      <x:c r="H189" s="58" t="str">
        <x:v>No corresponding executed estimate</x:v>
      </x:c>
      <x:c r="I189" s="58" t="str">
        <x:v>Not reported</x:v>
      </x:c>
      <x:c r="J189" s="57" t="n">
        <x:v>1</x:v>
      </x:c>
      <x:c r="K189" s="34" t="n">
        <x:v>0</x:v>
      </x:c>
      <x:c r="L189" s="34" t="n">
        <x:f>J189*K189</x:f>
        <x:v>0</x:v>
      </x:c>
      <x:c r="M189" s="33" t="str">
        <x:v>Not answered</x:v>
      </x:c>
      <x:c r="N189" s="35" t="str">
        <x:v>No executed scientific estimate answering this reference estimand. Reading a reference-like count from the input dictionary does not establish the corresponding analytic population.</x:v>
      </x:c>
    </x:row>
    <x:row r="190" ht="48" customHeight="1">
      <x:c r="A190" s="40" t="str">
        <x:v>FR-0005</x:v>
      </x:c>
      <x:c r="B190" s="41" t="str">
        <x:v>Biomni</x:v>
      </x:c>
      <x:c r="C190" s="41" t="str">
        <x:v>A01</x:v>
      </x:c>
      <x:c r="D190" s="41" t="str">
        <x:v>Unique mother-child pairs in the infant cohort</x:v>
      </x:c>
      <x:c r="E190" s="54" t="n">
        <x:v>94</x:v>
      </x:c>
      <x:c r="F190" s="55" t="str">
        <x:v>Not specified</x:v>
      </x:c>
      <x:c r="G190" s="54" t="n">
        <x:v>0</x:v>
      </x:c>
      <x:c r="H190" s="54" t="n">
        <x:v>94</x:v>
      </x:c>
      <x:c r="I190" s="55" t="str">
        <x:v>Not reported</x:v>
      </x:c>
      <x:c r="J190" s="54" t="n">
        <x:v>1</x:v>
      </x:c>
      <x:c r="K190" s="56" t="n">
        <x:v>1</x:v>
      </x:c>
      <x:c r="L190" s="56" t="n">
        <x:f>J190*K190</x:f>
        <x:v>1</x:v>
      </x:c>
      <x:c r="M190" s="41" t="str">
        <x:v>Comparable</x:v>
      </x:c>
      <x:c r="N190" s="41" t="str">
        <x:v>94 unique mother-child pairs explicitly audited and reported.</x:v>
      </x:c>
    </x:row>
    <x:row r="191" ht="48" customHeight="1">
      <x:c r="A191" s="32" t="str">
        <x:v>FR-0005</x:v>
      </x:c>
      <x:c r="B191" s="33" t="str">
        <x:v>Biomni</x:v>
      </x:c>
      <x:c r="C191" s="33" t="str">
        <x:v>A02</x:v>
      </x:c>
      <x:c r="D191" s="33" t="str">
        <x:v>Infants with new exposure after 6 months under the published serological rule</x:v>
      </x:c>
      <x:c r="E191" s="57" t="n">
        <x:v>22</x:v>
      </x:c>
      <x:c r="F191" s="58" t="str">
        <x:v>Not specified</x:v>
      </x:c>
      <x:c r="G191" s="57" t="n">
        <x:v>0</x:v>
      </x:c>
      <x:c r="H191" s="58" t="str">
        <x:v>No corresponding executed estimate</x:v>
      </x:c>
      <x:c r="I191" s="58" t="str">
        <x:v>Not reported</x:v>
      </x:c>
      <x:c r="J191" s="57" t="n">
        <x:v>1</x:v>
      </x:c>
      <x:c r="K191" s="34" t="n">
        <x:v>0</x:v>
      </x:c>
      <x:c r="L191" s="34" t="n">
        <x:f>J191*K191</x:f>
        <x:v>0</x:v>
      </x:c>
      <x:c r="M191" s="33" t="str">
        <x:v>Not answered</x:v>
      </x:c>
      <x:c r="N191" s="35" t="str">
        <x:v>No executed estimate answering this reference estimand.</x:v>
      </x:c>
    </x:row>
    <x:row r="192" ht="48" customHeight="1">
      <x:c r="A192" s="32" t="str">
        <x:v>FR-0005</x:v>
      </x:c>
      <x:c r="B192" s="33" t="str">
        <x:v>Biomni</x:v>
      </x:c>
      <x:c r="C192" s="33" t="str">
        <x:v>A03</x:v>
      </x:c>
      <x:c r="D192" s="33" t="str">
        <x:v>Proportion with new serological exposure from month 6 to months 9/10/11</x:v>
      </x:c>
      <x:c r="E192" s="59" t="n">
        <x:v>0.23</x:v>
      </x:c>
      <x:c r="F192" s="58" t="str">
        <x:v>Not specified</x:v>
      </x:c>
      <x:c r="G192" s="59" t="n">
        <x:v>0.05</x:v>
      </x:c>
      <x:c r="H192" s="58" t="str">
        <x:v>No corresponding executed estimate</x:v>
      </x:c>
      <x:c r="I192" s="58" t="str">
        <x:v>Not reported</x:v>
      </x:c>
      <x:c r="J192" s="57" t="n">
        <x:v>1</x:v>
      </x:c>
      <x:c r="K192" s="34" t="n">
        <x:v>0</x:v>
      </x:c>
      <x:c r="L192" s="34" t="n">
        <x:f>J192*K192</x:f>
        <x:v>0</x:v>
      </x:c>
      <x:c r="M192" s="33" t="str">
        <x:v>Not answered</x:v>
      </x:c>
      <x:c r="N192" s="35" t="str">
        <x:v>No executed estimate answering this reference estimand.</x:v>
      </x:c>
    </x:row>
    <x:row r="193" ht="48" customHeight="1">
      <x:c r="A193" s="32" t="str">
        <x:v>FR-0005</x:v>
      </x:c>
      <x:c r="B193" s="33" t="str">
        <x:v>Biomni</x:v>
      </x:c>
      <x:c r="C193" s="33" t="str">
        <x:v>A04</x:v>
      </x:c>
      <x:c r="D193" s="33" t="str">
        <x:v>Participants in the SpyCATS baseline life-course IgG analysis</x:v>
      </x:c>
      <x:c r="E193" s="57" t="n">
        <x:v>413</x:v>
      </x:c>
      <x:c r="F193" s="58" t="str">
        <x:v>Not specified</x:v>
      </x:c>
      <x:c r="G193" s="57" t="n">
        <x:v>0</x:v>
      </x:c>
      <x:c r="H193" s="58" t="str">
        <x:v>No corresponding executed estimate</x:v>
      </x:c>
      <x:c r="I193" s="58" t="str">
        <x:v>Not reported</x:v>
      </x:c>
      <x:c r="J193" s="57" t="n">
        <x:v>1</x:v>
      </x:c>
      <x:c r="K193" s="34" t="n">
        <x:v>0</x:v>
      </x:c>
      <x:c r="L193" s="34" t="n">
        <x:f>J193*K193</x:f>
        <x:v>0</x:v>
      </x:c>
      <x:c r="M193" s="33" t="str">
        <x:v>Not answered</x:v>
      </x:c>
      <x:c r="N193" s="35" t="str">
        <x:v>No executed estimate answering this reference estimand.</x:v>
      </x:c>
    </x:row>
    <x:row r="194" ht="48" customHeight="1">
      <x:c r="A194" s="32" t="str">
        <x:v>FR-0005</x:v>
      </x:c>
      <x:c r="B194" s="33" t="str">
        <x:v>Biomni</x:v>
      </x:c>
      <x:c r="C194" s="33" t="str">
        <x:v>A05</x:v>
      </x:c>
      <x:c r="D194" s="33" t="str">
        <x:v>Minimum pairwise Pearson correlation among five antigen-specific IgG measures at baseline</x:v>
      </x:c>
      <x:c r="E194" s="59" t="n">
        <x:v>0.65</x:v>
      </x:c>
      <x:c r="F194" s="58" t="str">
        <x:v>Not specified</x:v>
      </x:c>
      <x:c r="G194" s="59" t="n">
        <x:v>0.1</x:v>
      </x:c>
      <x:c r="H194" s="58" t="str">
        <x:v>No corresponding executed estimate</x:v>
      </x:c>
      <x:c r="I194" s="58" t="str">
        <x:v>Not reported</x:v>
      </x:c>
      <x:c r="J194" s="57" t="n">
        <x:v>1</x:v>
      </x:c>
      <x:c r="K194" s="34" t="n">
        <x:v>0</x:v>
      </x:c>
      <x:c r="L194" s="34" t="n">
        <x:f>J194*K194</x:f>
        <x:v>0</x:v>
      </x:c>
      <x:c r="M194" s="33" t="str">
        <x:v>Not answered</x:v>
      </x:c>
      <x:c r="N194" s="35" t="str">
        <x:v>No executed estimate answering this reference estimand.</x:v>
      </x:c>
    </x:row>
    <x:row r="195" ht="48" customHeight="1">
      <x:c r="A195" s="32" t="str">
        <x:v>FR-0005</x:v>
      </x:c>
      <x:c r="B195" s="33" t="str">
        <x:v>Biomni</x:v>
      </x:c>
      <x:c r="C195" s="33" t="str">
        <x:v>A06</x:v>
      </x:c>
      <x:c r="D195" s="33" t="str">
        <x:v>Maximum pairwise Pearson correlation among five antigen-specific IgG measures at baseline</x:v>
      </x:c>
      <x:c r="E195" s="59" t="n">
        <x:v>0.86</x:v>
      </x:c>
      <x:c r="F195" s="58" t="str">
        <x:v>Not specified</x:v>
      </x:c>
      <x:c r="G195" s="59" t="n">
        <x:v>0.1</x:v>
      </x:c>
      <x:c r="H195" s="58" t="str">
        <x:v>No corresponding executed estimate</x:v>
      </x:c>
      <x:c r="I195" s="58" t="str">
        <x:v>Not reported</x:v>
      </x:c>
      <x:c r="J195" s="57" t="n">
        <x:v>1</x:v>
      </x:c>
      <x:c r="K195" s="34" t="n">
        <x:v>0</x:v>
      </x:c>
      <x:c r="L195" s="34" t="n">
        <x:f>J195*K195</x:f>
        <x:v>0</x:v>
      </x:c>
      <x:c r="M195" s="33" t="str">
        <x:v>Not answered</x:v>
      </x:c>
      <x:c r="N195" s="35" t="str">
        <x:v>No executed estimate answering this reference estimand.</x:v>
      </x:c>
    </x:row>
    <x:row r="196" ht="48" customHeight="1">
      <x:c r="A196" s="32" t="str">
        <x:v>FR-0005</x:v>
      </x:c>
      <x:c r="B196" s="33" t="str">
        <x:v>Biomni</x:v>
      </x:c>
      <x:c r="C196" s="33" t="str">
        <x:v>A07</x:v>
      </x:c>
      <x:c r="D196" s="33" t="str">
        <x:v>Culture-confirmed events with paired pre-event and post-event IgG</x:v>
      </x:c>
      <x:c r="E196" s="57" t="n">
        <x:v>150</x:v>
      </x:c>
      <x:c r="F196" s="58" t="str">
        <x:v>Not specified</x:v>
      </x:c>
      <x:c r="G196" s="57" t="n">
        <x:v>0</x:v>
      </x:c>
      <x:c r="H196" s="58" t="str">
        <x:v>No corresponding executed estimate</x:v>
      </x:c>
      <x:c r="I196" s="58" t="str">
        <x:v>Not reported</x:v>
      </x:c>
      <x:c r="J196" s="57" t="n">
        <x:v>1</x:v>
      </x:c>
      <x:c r="K196" s="34" t="n">
        <x:v>0</x:v>
      </x:c>
      <x:c r="L196" s="34" t="n">
        <x:f>J196*K196</x:f>
        <x:v>0</x:v>
      </x:c>
      <x:c r="M196" s="33" t="str">
        <x:v>Not answered</x:v>
      </x:c>
      <x:c r="N196" s="35" t="str">
        <x:v>No executed estimate answering this reference estimand.</x:v>
      </x:c>
    </x:row>
    <x:row r="197" ht="48" customHeight="1">
      <x:c r="A197" s="32" t="str">
        <x:v>FR-0005</x:v>
      </x:c>
      <x:c r="B197" s="33" t="str">
        <x:v>Biomni</x:v>
      </x:c>
      <x:c r="C197" s="33" t="str">
        <x:v>A08</x:v>
      </x:c>
      <x:c r="D197" s="33" t="str">
        <x:v>Minimum mean post-event log10 IgG increase across five antigens (log10 RLU/mL)</x:v>
      </x:c>
      <x:c r="E197" s="59" t="n">
        <x:v>0.1</x:v>
      </x:c>
      <x:c r="F197" s="58" t="str">
        <x:v>Not specified</x:v>
      </x:c>
      <x:c r="G197" s="59" t="n">
        <x:v>0.05</x:v>
      </x:c>
      <x:c r="H197" s="58" t="str">
        <x:v>No corresponding executed estimate</x:v>
      </x:c>
      <x:c r="I197" s="58" t="str">
        <x:v>Not reported</x:v>
      </x:c>
      <x:c r="J197" s="57" t="n">
        <x:v>1</x:v>
      </x:c>
      <x:c r="K197" s="34" t="n">
        <x:v>0</x:v>
      </x:c>
      <x:c r="L197" s="34" t="n">
        <x:f>J197*K197</x:f>
        <x:v>0</x:v>
      </x:c>
      <x:c r="M197" s="33" t="str">
        <x:v>Not answered</x:v>
      </x:c>
      <x:c r="N197" s="35" t="str">
        <x:v>No executed estimate answering this reference estimand.</x:v>
      </x:c>
    </x:row>
    <x:row r="198" ht="48" customHeight="1">
      <x:c r="A198" s="32" t="str">
        <x:v>FR-0005</x:v>
      </x:c>
      <x:c r="B198" s="33" t="str">
        <x:v>Biomni</x:v>
      </x:c>
      <x:c r="C198" s="33" t="str">
        <x:v>A09</x:v>
      </x:c>
      <x:c r="D198" s="33" t="str">
        <x:v>Maximum mean post-event log10 IgG increase across five antigens (log10 RLU/mL)</x:v>
      </x:c>
      <x:c r="E198" s="59" t="n">
        <x:v>0.19</x:v>
      </x:c>
      <x:c r="F198" s="58" t="str">
        <x:v>Not specified</x:v>
      </x:c>
      <x:c r="G198" s="59" t="n">
        <x:v>0.05</x:v>
      </x:c>
      <x:c r="H198" s="58" t="str">
        <x:v>No corresponding executed estimate</x:v>
      </x:c>
      <x:c r="I198" s="58" t="str">
        <x:v>Not reported</x:v>
      </x:c>
      <x:c r="J198" s="57" t="n">
        <x:v>1</x:v>
      </x:c>
      <x:c r="K198" s="34" t="n">
        <x:v>0</x:v>
      </x:c>
      <x:c r="L198" s="34" t="n">
        <x:f>J198*K198</x:f>
        <x:v>0</x:v>
      </x:c>
      <x:c r="M198" s="33" t="str">
        <x:v>Not answered</x:v>
      </x:c>
      <x:c r="N198" s="35" t="str">
        <x:v>No executed estimate answering this reference estimand.</x:v>
      </x:c>
    </x:row>
    <x:row r="199" ht="48" customHeight="1">
      <x:c r="A199" s="32" t="str">
        <x:v>FR-0005</x:v>
      </x:c>
      <x:c r="B199" s="33" t="str">
        <x:v>Biomni</x:v>
      </x:c>
      <x:c r="C199" s="33" t="str">
        <x:v>A10</x:v>
      </x:c>
      <x:c r="D199" s="33" t="str">
        <x:v>Minimum difference in post-event log10 IgG increase, age &lt;2 years minus adults, across five antigens</x:v>
      </x:c>
      <x:c r="E199" s="59" t="n">
        <x:v>0.25</x:v>
      </x:c>
      <x:c r="F199" s="58" t="str">
        <x:v>Not specified</x:v>
      </x:c>
      <x:c r="G199" s="59" t="n">
        <x:v>0.1</x:v>
      </x:c>
      <x:c r="H199" s="58" t="str">
        <x:v>No corresponding executed estimate</x:v>
      </x:c>
      <x:c r="I199" s="58" t="str">
        <x:v>Not reported</x:v>
      </x:c>
      <x:c r="J199" s="57" t="n">
        <x:v>1</x:v>
      </x:c>
      <x:c r="K199" s="34" t="n">
        <x:v>0</x:v>
      </x:c>
      <x:c r="L199" s="34" t="n">
        <x:f>J199*K199</x:f>
        <x:v>0</x:v>
      </x:c>
      <x:c r="M199" s="33" t="str">
        <x:v>Not answered</x:v>
      </x:c>
      <x:c r="N199" s="35" t="str">
        <x:v>No executed estimate answering this reference estimand.</x:v>
      </x:c>
    </x:row>
    <x:row r="200" ht="48" customHeight="1">
      <x:c r="A200" s="32" t="str">
        <x:v>FR-0005</x:v>
      </x:c>
      <x:c r="B200" s="33" t="str">
        <x:v>Biomni</x:v>
      </x:c>
      <x:c r="C200" s="33" t="str">
        <x:v>A11</x:v>
      </x:c>
      <x:c r="D200" s="33" t="str">
        <x:v>Maximum difference in post-event log10 IgG increase, age &lt;2 years minus adults, across five antigens</x:v>
      </x:c>
      <x:c r="E200" s="59" t="n">
        <x:v>0.54</x:v>
      </x:c>
      <x:c r="F200" s="58" t="str">
        <x:v>Not specified</x:v>
      </x:c>
      <x:c r="G200" s="59" t="n">
        <x:v>0.1</x:v>
      </x:c>
      <x:c r="H200" s="58" t="str">
        <x:v>No corresponding executed estimate</x:v>
      </x:c>
      <x:c r="I200" s="58" t="str">
        <x:v>Not reported</x:v>
      </x:c>
      <x:c r="J200" s="57" t="n">
        <x:v>1</x:v>
      </x:c>
      <x:c r="K200" s="34" t="n">
        <x:v>0</x:v>
      </x:c>
      <x:c r="L200" s="34" t="n">
        <x:f>J200*K200</x:f>
        <x:v>0</x:v>
      </x:c>
      <x:c r="M200" s="33" t="str">
        <x:v>Not answered</x:v>
      </x:c>
      <x:c r="N200" s="35" t="str">
        <x:v>No executed estimate answering this reference estimand.</x:v>
      </x:c>
    </x:row>
    <x:row r="201" ht="54" customHeight="1">
      <x:c r="A201" s="32" t="str">
        <x:v>FR-0005</x:v>
      </x:c>
      <x:c r="B201" s="33" t="str">
        <x:v>Biomni</x:v>
      </x:c>
      <x:c r="C201" s="33" t="str">
        <x:v>A12</x:v>
      </x:c>
      <x:c r="D201" s="33" t="str">
        <x:v>Unique participant-IgG measurement timepoints in the protection analysis</x:v>
      </x:c>
      <x:c r="E201" s="57" t="n">
        <x:v>1987</x:v>
      </x:c>
      <x:c r="F201" s="58" t="str">
        <x:v>Not specified</x:v>
      </x:c>
      <x:c r="G201" s="57" t="n">
        <x:v>0</x:v>
      </x:c>
      <x:c r="H201" s="57" t="n">
        <x:v>1851</x:v>
      </x:c>
      <x:c r="I201" s="58" t="str">
        <x:v>Not reported</x:v>
      </x:c>
      <x:c r="J201" s="57" t="n">
        <x:v>1</x:v>
      </x:c>
      <x:c r="K201" s="34" t="n">
        <x:v>0</x:v>
      </x:c>
      <x:c r="L201" s="34" t="n">
        <x:f>J201*K201</x:f>
        <x:v>0</x:v>
      </x:c>
      <x:c r="M201" s="33" t="str">
        <x:v>Different data selection</x:v>
      </x:c>
      <x:c r="N201" s="35" t="str">
        <x:v>Explicit counts are 1,851 measurement-origin risk intervals and 145 any-event days, not the reference 1,987 timepoints / 4,677 fixed-window followups / 165 fully adjusted recurrent events; relevant counts differ by more than 5%.</x:v>
      </x:c>
    </x:row>
    <x:row r="202" ht="54" customHeight="1">
      <x:c r="A202" s="32" t="str">
        <x:v>FR-0005</x:v>
      </x:c>
      <x:c r="B202" s="33" t="str">
        <x:v>Biomni</x:v>
      </x:c>
      <x:c r="C202" s="33" t="str">
        <x:v>A13</x:v>
      </x:c>
      <x:c r="D202" s="33" t="str">
        <x:v>Participants with at least one IgG measurement in the protection analysis</x:v>
      </x:c>
      <x:c r="E202" s="57" t="n">
        <x:v>431</x:v>
      </x:c>
      <x:c r="F202" s="58" t="str">
        <x:v>Not specified</x:v>
      </x:c>
      <x:c r="G202" s="57" t="n">
        <x:v>0</x:v>
      </x:c>
      <x:c r="H202" s="57" t="n">
        <x:v>430</x:v>
      </x:c>
      <x:c r="I202" s="58" t="str">
        <x:v>Not reported</x:v>
      </x:c>
      <x:c r="J202" s="57" t="n">
        <x:v>1</x:v>
      </x:c>
      <x:c r="K202" s="34" t="n">
        <x:v>0.6666666666666666</x:v>
      </x:c>
      <x:c r="L202" s="34" t="n">
        <x:f>J202*K202</x:f>
        <x:v>0.6666666666666666</x:v>
      </x:c>
      <x:c r="M202" s="33" t="str">
        <x:v>Comparable</x:v>
      </x:c>
      <x:c r="N202" s="35" t="str">
        <x:v>430 actual-IgG participants in the protection model versus reference 431; same protection-analysis population target, within 5%, with interval eligibility difference disclosed.</x:v>
      </x:c>
    </x:row>
    <x:row r="203" ht="54" customHeight="1">
      <x:c r="A203" s="32" t="str">
        <x:v>FR-0005</x:v>
      </x:c>
      <x:c r="B203" s="33" t="str">
        <x:v>Biomni</x:v>
      </x:c>
      <x:c r="C203" s="33" t="str">
        <x:v>A15</x:v>
      </x:c>
      <x:c r="D203" s="33" t="str">
        <x:v>Follow-up records in the 45-day event-probability analysis</x:v>
      </x:c>
      <x:c r="E203" s="57" t="n">
        <x:v>4677</x:v>
      </x:c>
      <x:c r="F203" s="58" t="str">
        <x:v>Not specified</x:v>
      </x:c>
      <x:c r="G203" s="57" t="n">
        <x:v>0</x:v>
      </x:c>
      <x:c r="H203" s="58" t="str">
        <x:v>No corresponding executed estimate</x:v>
      </x:c>
      <x:c r="I203" s="58" t="str">
        <x:v>Not reported</x:v>
      </x:c>
      <x:c r="J203" s="57" t="n">
        <x:v>1</x:v>
      </x:c>
      <x:c r="K203" s="34" t="n">
        <x:v>0</x:v>
      </x:c>
      <x:c r="L203" s="34" t="n">
        <x:f>J203*K203</x:f>
        <x:v>0</x:v>
      </x:c>
      <x:c r="M203" s="33" t="str">
        <x:v>Different data selection</x:v>
      </x:c>
      <x:c r="N203" s="35" t="str">
        <x:v>Explicit counts are 1,851 measurement-origin risk intervals and 145 any-event days, not the reference 1,987 timepoints / 4,677 fixed-window followups / 165 fully adjusted recurrent events; relevant counts differ by more than 5%.</x:v>
      </x:c>
    </x:row>
    <x:row r="204" ht="54" customHeight="1">
      <x:c r="A204" s="32" t="str">
        <x:v>FR-0005</x:v>
      </x:c>
      <x:c r="B204" s="33" t="str">
        <x:v>Biomni</x:v>
      </x:c>
      <x:c r="C204" s="33" t="str">
        <x:v>A16</x:v>
      </x:c>
      <x:c r="D204" s="33" t="str">
        <x:v>SpyCEP: OR for any culture-confirmed event within 45 days per 1 log10 RLU/mL higher IgG in the unsegmented model</x:v>
      </x:c>
      <x:c r="E204" s="59" t="n">
        <x:v>0.68</x:v>
      </x:c>
      <x:c r="F204" s="58" t="str">
        <x:v>[0.5, 0.92]</x:v>
      </x:c>
      <x:c r="G204" s="59" t="n">
        <x:v>0.42</x:v>
      </x:c>
      <x:c r="H204" s="58" t="str">
        <x:v>No corresponding executed estimate</x:v>
      </x:c>
      <x:c r="I204" s="58" t="str">
        <x:v>Not reported</x:v>
      </x:c>
      <x:c r="J204" s="57" t="n">
        <x:v>1</x:v>
      </x:c>
      <x:c r="K204" s="34" t="n">
        <x:v>0</x:v>
      </x:c>
      <x:c r="L204" s="34" t="n">
        <x:f>J204*K204</x:f>
        <x:v>0</x:v>
      </x:c>
      <x:c r="M204" s="33" t="str">
        <x:v>Different method</x:v>
      </x:c>
      <x:c r="N204" s="35" t="str">
        <x:v>Whole-range per-SD Poisson rate ratios do not answer per-log10 fixed-window ORs or above-knot recurrent-event HRs.</x:v>
      </x:c>
    </x:row>
    <x:row r="205" ht="48" customHeight="1">
      <x:c r="A205" s="32" t="str">
        <x:v>FR-0005</x:v>
      </x:c>
      <x:c r="B205" s="33" t="str">
        <x:v>Biomni</x:v>
      </x:c>
      <x:c r="C205" s="33" t="str">
        <x:v>A17</x:v>
      </x:c>
      <x:c r="D205" s="33" t="str">
        <x:v>SLO: OR for any culture-confirmed event within 45 days per 1 log10 RLU/mL above the breakpoint</x:v>
      </x:c>
      <x:c r="E205" s="59" t="n">
        <x:v>0.06</x:v>
      </x:c>
      <x:c r="F205" s="58" t="str">
        <x:v>[0.01, 0.49]</x:v>
      </x:c>
      <x:c r="G205" s="59" t="n">
        <x:v>0.48</x:v>
      </x:c>
      <x:c r="H205" s="58" t="str">
        <x:v>No corresponding executed estimate</x:v>
      </x:c>
      <x:c r="I205" s="58" t="str">
        <x:v>Not reported</x:v>
      </x:c>
      <x:c r="J205" s="57" t="n">
        <x:v>2</x:v>
      </x:c>
      <x:c r="K205" s="34" t="n">
        <x:v>0</x:v>
      </x:c>
      <x:c r="L205" s="34" t="n">
        <x:f>J205*K205</x:f>
        <x:v>0</x:v>
      </x:c>
      <x:c r="M205" s="33" t="str">
        <x:v>Different method</x:v>
      </x:c>
      <x:c r="N205" s="35" t="str">
        <x:v>Whole-range per-SD Poisson rate ratios do not answer per-log10 fixed-window ORs or above-knot recurrent-event HRs.</x:v>
      </x:c>
    </x:row>
    <x:row r="206" ht="48" customHeight="1">
      <x:c r="A206" s="32" t="str">
        <x:v>FR-0005</x:v>
      </x:c>
      <x:c r="B206" s="33" t="str">
        <x:v>Biomni</x:v>
      </x:c>
      <x:c r="C206" s="33" t="str">
        <x:v>A18</x:v>
      </x:c>
      <x:c r="D206" s="33" t="str">
        <x:v>SpyAD: OR for any culture-confirmed event within 45 days per 1 log10 RLU/mL above the breakpoint</x:v>
      </x:c>
      <x:c r="E206" s="59" t="n">
        <x:v>0.34</x:v>
      </x:c>
      <x:c r="F206" s="58" t="str">
        <x:v>[0.15, 0.77]</x:v>
      </x:c>
      <x:c r="G206" s="59" t="n">
        <x:v>0.62</x:v>
      </x:c>
      <x:c r="H206" s="58" t="str">
        <x:v>No corresponding executed estimate</x:v>
      </x:c>
      <x:c r="I206" s="58" t="str">
        <x:v>Not reported</x:v>
      </x:c>
      <x:c r="J206" s="57" t="n">
        <x:v>2</x:v>
      </x:c>
      <x:c r="K206" s="34" t="n">
        <x:v>0</x:v>
      </x:c>
      <x:c r="L206" s="34" t="n">
        <x:f>J206*K206</x:f>
        <x:v>0</x:v>
      </x:c>
      <x:c r="M206" s="33" t="str">
        <x:v>Different method</x:v>
      </x:c>
      <x:c r="N206" s="35" t="str">
        <x:v>Whole-range per-SD Poisson rate ratios do not answer per-log10 fixed-window ORs or above-knot recurrent-event HRs.</x:v>
      </x:c>
    </x:row>
    <x:row r="207" ht="48" customHeight="1">
      <x:c r="A207" s="32" t="str">
        <x:v>FR-0005</x:v>
      </x:c>
      <x:c r="B207" s="33" t="str">
        <x:v>Biomni</x:v>
      </x:c>
      <x:c r="C207" s="33" t="str">
        <x:v>A19</x:v>
      </x:c>
      <x:c r="D207" s="33" t="str">
        <x:v>SpyCEP: OR for any culture-confirmed event within 45 days per 1 log10 RLU/mL above the breakpoint</x:v>
      </x:c>
      <x:c r="E207" s="59" t="n">
        <x:v>0.25</x:v>
      </x:c>
      <x:c r="F207" s="58" t="str">
        <x:v>[0.09, 0.68]</x:v>
      </x:c>
      <x:c r="G207" s="59" t="n">
        <x:v>0.59</x:v>
      </x:c>
      <x:c r="H207" s="58" t="str">
        <x:v>No corresponding executed estimate</x:v>
      </x:c>
      <x:c r="I207" s="58" t="str">
        <x:v>Not reported</x:v>
      </x:c>
      <x:c r="J207" s="57" t="n">
        <x:v>2</x:v>
      </x:c>
      <x:c r="K207" s="34" t="n">
        <x:v>0</x:v>
      </x:c>
      <x:c r="L207" s="34" t="n">
        <x:f>J207*K207</x:f>
        <x:v>0</x:v>
      </x:c>
      <x:c r="M207" s="33" t="str">
        <x:v>Different method</x:v>
      </x:c>
      <x:c r="N207" s="35" t="str">
        <x:v>Whole-range per-SD Poisson rate ratios do not answer per-log10 fixed-window ORs or above-knot recurrent-event HRs.</x:v>
      </x:c>
    </x:row>
    <x:row r="208" ht="48" customHeight="1">
      <x:c r="A208" s="32" t="str">
        <x:v>FR-0005</x:v>
      </x:c>
      <x:c r="B208" s="33" t="str">
        <x:v>Biomni</x:v>
      </x:c>
      <x:c r="C208" s="33" t="str">
        <x:v>A20</x:v>
      </x:c>
      <x:c r="D208" s="33" t="str">
        <x:v>SLO: putative 50% protective IgG threshold (RLU/mL)</x:v>
      </x:c>
      <x:c r="E208" s="57" t="n">
        <x:v>39209</x:v>
      </x:c>
      <x:c r="F208" s="58" t="str">
        <x:v>[34037, 45904]</x:v>
      </x:c>
      <x:c r="G208" s="57" t="n">
        <x:v>11867</x:v>
      </x:c>
      <x:c r="H208" s="58" t="str">
        <x:v>No corresponding executed estimate</x:v>
      </x:c>
      <x:c r="I208" s="58" t="str">
        <x:v>Not reported</x:v>
      </x:c>
      <x:c r="J208" s="57" t="n">
        <x:v>1</x:v>
      </x:c>
      <x:c r="K208" s="34" t="n">
        <x:v>0</x:v>
      </x:c>
      <x:c r="L208" s="34" t="n">
        <x:f>J208*K208</x:f>
        <x:v>0</x:v>
      </x:c>
      <x:c r="M208" s="33" t="str">
        <x:v>Not answered</x:v>
      </x:c>
      <x:c r="N208" s="35" t="str">
        <x:v>No executed estimate answering this reference estimand.</x:v>
      </x:c>
    </x:row>
    <x:row r="209" ht="48" customHeight="1">
      <x:c r="A209" s="32" t="str">
        <x:v>FR-0005</x:v>
      </x:c>
      <x:c r="B209" s="33" t="str">
        <x:v>Biomni</x:v>
      </x:c>
      <x:c r="C209" s="33" t="str">
        <x:v>A21</x:v>
      </x:c>
      <x:c r="D209" s="33" t="str">
        <x:v>SpyAD: putative 50% protective IgG threshold (RLU/mL)</x:v>
      </x:c>
      <x:c r="E209" s="57" t="n">
        <x:v>65454</x:v>
      </x:c>
      <x:c r="F209" s="58" t="str">
        <x:v>[54748, 89448]</x:v>
      </x:c>
      <x:c r="G209" s="57" t="n">
        <x:v>34700</x:v>
      </x:c>
      <x:c r="H209" s="58" t="str">
        <x:v>No corresponding executed estimate</x:v>
      </x:c>
      <x:c r="I209" s="58" t="str">
        <x:v>Not reported</x:v>
      </x:c>
      <x:c r="J209" s="57" t="n">
        <x:v>1</x:v>
      </x:c>
      <x:c r="K209" s="34" t="n">
        <x:v>0</x:v>
      </x:c>
      <x:c r="L209" s="34" t="n">
        <x:f>J209*K209</x:f>
        <x:v>0</x:v>
      </x:c>
      <x:c r="M209" s="33" t="str">
        <x:v>Not answered</x:v>
      </x:c>
      <x:c r="N209" s="35" t="str">
        <x:v>No executed estimate answering this reference estimand.</x:v>
      </x:c>
    </x:row>
    <x:row r="210" ht="48" customHeight="1">
      <x:c r="A210" s="32" t="str">
        <x:v>FR-0005</x:v>
      </x:c>
      <x:c r="B210" s="33" t="str">
        <x:v>Biomni</x:v>
      </x:c>
      <x:c r="C210" s="33" t="str">
        <x:v>A22</x:v>
      </x:c>
      <x:c r="D210" s="33" t="str">
        <x:v>SpyCEP: putative 50% protective IgG threshold (RLU/mL)</x:v>
      </x:c>
      <x:c r="E210" s="57" t="n">
        <x:v>70643</x:v>
      </x:c>
      <x:c r="F210" s="58" t="str">
        <x:v>[61509, 82577]</x:v>
      </x:c>
      <x:c r="G210" s="57" t="n">
        <x:v>21068</x:v>
      </x:c>
      <x:c r="H210" s="58" t="str">
        <x:v>No corresponding executed estimate</x:v>
      </x:c>
      <x:c r="I210" s="58" t="str">
        <x:v>Not reported</x:v>
      </x:c>
      <x:c r="J210" s="57" t="n">
        <x:v>1</x:v>
      </x:c>
      <x:c r="K210" s="34" t="n">
        <x:v>0</x:v>
      </x:c>
      <x:c r="L210" s="34" t="n">
        <x:f>J210*K210</x:f>
        <x:v>0</x:v>
      </x:c>
      <x:c r="M210" s="33" t="str">
        <x:v>Not answered</x:v>
      </x:c>
      <x:c r="N210" s="35" t="str">
        <x:v>No executed estimate answering this reference estimand.</x:v>
      </x:c>
    </x:row>
    <x:row r="211" ht="48" customHeight="1">
      <x:c r="A211" s="32" t="str">
        <x:v>FR-0005</x:v>
      </x:c>
      <x:c r="B211" s="33" t="str">
        <x:v>Biomni</x:v>
      </x:c>
      <x:c r="C211" s="33" t="str">
        <x:v>A23</x:v>
      </x:c>
      <x:c r="D211" s="33" t="str">
        <x:v>Participants with baseline IgG above the SLO 50% protective threshold</x:v>
      </x:c>
      <x:c r="E211" s="57" t="n">
        <x:v>44</x:v>
      </x:c>
      <x:c r="F211" s="58" t="str">
        <x:v>Not specified</x:v>
      </x:c>
      <x:c r="G211" s="57" t="n">
        <x:v>0</x:v>
      </x:c>
      <x:c r="H211" s="58" t="str">
        <x:v>No corresponding executed estimate</x:v>
      </x:c>
      <x:c r="I211" s="58" t="str">
        <x:v>Not reported</x:v>
      </x:c>
      <x:c r="J211" s="57" t="n">
        <x:v>1</x:v>
      </x:c>
      <x:c r="K211" s="34" t="n">
        <x:v>0</x:v>
      </x:c>
      <x:c r="L211" s="34" t="n">
        <x:f>J211*K211</x:f>
        <x:v>0</x:v>
      </x:c>
      <x:c r="M211" s="33" t="str">
        <x:v>Not answered</x:v>
      </x:c>
      <x:c r="N211" s="35" t="str">
        <x:v>No executed estimate answering this reference estimand.</x:v>
      </x:c>
    </x:row>
    <x:row r="212" ht="48" customHeight="1">
      <x:c r="A212" s="32" t="str">
        <x:v>FR-0005</x:v>
      </x:c>
      <x:c r="B212" s="33" t="str">
        <x:v>Biomni</x:v>
      </x:c>
      <x:c r="C212" s="33" t="str">
        <x:v>A24</x:v>
      </x:c>
      <x:c r="D212" s="33" t="str">
        <x:v>Participants with baseline IgG above the SpyAD 50% protective threshold</x:v>
      </x:c>
      <x:c r="E212" s="57" t="n">
        <x:v>43</x:v>
      </x:c>
      <x:c r="F212" s="58" t="str">
        <x:v>Not specified</x:v>
      </x:c>
      <x:c r="G212" s="57" t="n">
        <x:v>0</x:v>
      </x:c>
      <x:c r="H212" s="58" t="str">
        <x:v>No corresponding executed estimate</x:v>
      </x:c>
      <x:c r="I212" s="58" t="str">
        <x:v>Not reported</x:v>
      </x:c>
      <x:c r="J212" s="57" t="n">
        <x:v>1</x:v>
      </x:c>
      <x:c r="K212" s="34" t="n">
        <x:v>0</x:v>
      </x:c>
      <x:c r="L212" s="34" t="n">
        <x:f>J212*K212</x:f>
        <x:v>0</x:v>
      </x:c>
      <x:c r="M212" s="33" t="str">
        <x:v>Not answered</x:v>
      </x:c>
      <x:c r="N212" s="35" t="str">
        <x:v>No executed estimate answering this reference estimand.</x:v>
      </x:c>
    </x:row>
    <x:row r="213" ht="48" customHeight="1">
      <x:c r="A213" s="32" t="str">
        <x:v>FR-0005</x:v>
      </x:c>
      <x:c r="B213" s="33" t="str">
        <x:v>Biomni</x:v>
      </x:c>
      <x:c r="C213" s="33" t="str">
        <x:v>A25</x:v>
      </x:c>
      <x:c r="D213" s="33" t="str">
        <x:v>Participants with baseline IgG above the SpyCEP 50% protective threshold</x:v>
      </x:c>
      <x:c r="E213" s="57" t="n">
        <x:v>66</x:v>
      </x:c>
      <x:c r="F213" s="58" t="str">
        <x:v>Not specified</x:v>
      </x:c>
      <x:c r="G213" s="57" t="n">
        <x:v>0</x:v>
      </x:c>
      <x:c r="H213" s="58" t="str">
        <x:v>No corresponding executed estimate</x:v>
      </x:c>
      <x:c r="I213" s="58" t="str">
        <x:v>Not reported</x:v>
      </x:c>
      <x:c r="J213" s="57" t="n">
        <x:v>1</x:v>
      </x:c>
      <x:c r="K213" s="34" t="n">
        <x:v>0</x:v>
      </x:c>
      <x:c r="L213" s="34" t="n">
        <x:f>J213*K213</x:f>
        <x:v>0</x:v>
      </x:c>
      <x:c r="M213" s="33" t="str">
        <x:v>Not answered</x:v>
      </x:c>
      <x:c r="N213" s="35" t="str">
        <x:v>No executed estimate answering this reference estimand.</x:v>
      </x:c>
    </x:row>
    <x:row r="214" ht="48" customHeight="1">
      <x:c r="A214" s="32" t="str">
        <x:v>FR-0005</x:v>
      </x:c>
      <x:c r="B214" s="33" t="str">
        <x:v>Biomni</x:v>
      </x:c>
      <x:c r="C214" s="33" t="str">
        <x:v>A26</x:v>
      </x:c>
      <x:c r="D214" s="33" t="str">
        <x:v>OR for a 45-day event with high responses to at least two versus one antigen at the 33% threshold</x:v>
      </x:c>
      <x:c r="E214" s="59" t="n">
        <x:v>0.47</x:v>
      </x:c>
      <x:c r="F214" s="58" t="str">
        <x:v>[0.25, 0.86]</x:v>
      </x:c>
      <x:c r="G214" s="59" t="n">
        <x:v>0.61</x:v>
      </x:c>
      <x:c r="H214" s="58" t="str">
        <x:v>No corresponding executed estimate</x:v>
      </x:c>
      <x:c r="I214" s="58" t="str">
        <x:v>Not reported</x:v>
      </x:c>
      <x:c r="J214" s="57" t="n">
        <x:v>1</x:v>
      </x:c>
      <x:c r="K214" s="34" t="n">
        <x:v>0</x:v>
      </x:c>
      <x:c r="L214" s="34" t="n">
        <x:f>J214*K214</x:f>
        <x:v>0</x:v>
      </x:c>
      <x:c r="M214" s="33" t="str">
        <x:v>Not answered</x:v>
      </x:c>
      <x:c r="N214" s="35" t="str">
        <x:v>No executed estimate answering this reference estimand.</x:v>
      </x:c>
    </x:row>
    <x:row r="215" ht="54" customHeight="1">
      <x:c r="A215" s="32" t="str">
        <x:v>FR-0005</x:v>
      </x:c>
      <x:c r="B215" s="33" t="str">
        <x:v>Biomni</x:v>
      </x:c>
      <x:c r="C215" s="33" t="str">
        <x:v>A27</x:v>
      </x:c>
      <x:c r="D215" s="33" t="str">
        <x:v>Any culture-confirmed events in the fully adjusted Andersen-Gill model</x:v>
      </x:c>
      <x:c r="E215" s="57" t="n">
        <x:v>165</x:v>
      </x:c>
      <x:c r="F215" s="58" t="str">
        <x:v>Not specified</x:v>
      </x:c>
      <x:c r="G215" s="57" t="n">
        <x:v>0</x:v>
      </x:c>
      <x:c r="H215" s="58" t="str">
        <x:v>No corresponding executed estimate</x:v>
      </x:c>
      <x:c r="I215" s="58" t="str">
        <x:v>Not reported</x:v>
      </x:c>
      <x:c r="J215" s="57" t="n">
        <x:v>1</x:v>
      </x:c>
      <x:c r="K215" s="34" t="n">
        <x:v>0</x:v>
      </x:c>
      <x:c r="L215" s="34" t="n">
        <x:f>J215*K215</x:f>
        <x:v>0</x:v>
      </x:c>
      <x:c r="M215" s="33" t="str">
        <x:v>Different data selection</x:v>
      </x:c>
      <x:c r="N215" s="35" t="str">
        <x:v>Explicit counts are 1,851 measurement-origin risk intervals and 145 any-event days, not the reference 1,987 timepoints / 4,677 fixed-window followups / 165 fully adjusted recurrent events; relevant counts differ by more than 5%.</x:v>
      </x:c>
    </x:row>
    <x:row r="216" ht="67.5" customHeight="1">
      <x:c r="A216" s="32" t="str">
        <x:v>FR-0005</x:v>
      </x:c>
      <x:c r="B216" s="33" t="str">
        <x:v>Biomni</x:v>
      </x:c>
      <x:c r="C216" s="33" t="str">
        <x:v>A28</x:v>
      </x:c>
      <x:c r="D216" s="33" t="str">
        <x:v>SLO: HR for any culture-confirmed event per 1 log10 IgG above the breakpoint, adjusted for age group, sex and household size with repeated/household clustering</x:v>
      </x:c>
      <x:c r="E216" s="59" t="n">
        <x:v>0.04</x:v>
      </x:c>
      <x:c r="F216" s="58" t="str">
        <x:v>[0.01, 0.23]</x:v>
      </x:c>
      <x:c r="G216" s="59" t="n">
        <x:v>0.22</x:v>
      </x:c>
      <x:c r="H216" s="58" t="str">
        <x:v>No corresponding executed estimate</x:v>
      </x:c>
      <x:c r="I216" s="58" t="str">
        <x:v>Not reported</x:v>
      </x:c>
      <x:c r="J216" s="57" t="n">
        <x:v>2</x:v>
      </x:c>
      <x:c r="K216" s="34" t="n">
        <x:v>0</x:v>
      </x:c>
      <x:c r="L216" s="34" t="n">
        <x:f>J216*K216</x:f>
        <x:v>0</x:v>
      </x:c>
      <x:c r="M216" s="33" t="str">
        <x:v>Different method</x:v>
      </x:c>
      <x:c r="N216" s="35" t="str">
        <x:v>Whole-range per-SD Poisson rate ratios do not answer per-log10 fixed-window ORs or above-knot recurrent-event HRs.</x:v>
      </x:c>
    </x:row>
    <x:row r="217" ht="54" customHeight="1">
      <x:c r="A217" s="32" t="str">
        <x:v>FR-0005</x:v>
      </x:c>
      <x:c r="B217" s="33" t="str">
        <x:v>Biomni</x:v>
      </x:c>
      <x:c r="C217" s="33" t="str">
        <x:v>A29</x:v>
      </x:c>
      <x:c r="D217" s="33" t="str">
        <x:v>SpyAD: HR for any culture-confirmed event per 1 log10 IgG above the breakpoint under the fully adjusted model</x:v>
      </x:c>
      <x:c r="E217" s="59" t="n">
        <x:v>0.29</x:v>
      </x:c>
      <x:c r="F217" s="58" t="str">
        <x:v>[0.16, 0.53]</x:v>
      </x:c>
      <x:c r="G217" s="59" t="n">
        <x:v>0.37</x:v>
      </x:c>
      <x:c r="H217" s="58" t="str">
        <x:v>No corresponding executed estimate</x:v>
      </x:c>
      <x:c r="I217" s="58" t="str">
        <x:v>Not reported</x:v>
      </x:c>
      <x:c r="J217" s="57" t="n">
        <x:v>2</x:v>
      </x:c>
      <x:c r="K217" s="34" t="n">
        <x:v>0</x:v>
      </x:c>
      <x:c r="L217" s="34" t="n">
        <x:f>J217*K217</x:f>
        <x:v>0</x:v>
      </x:c>
      <x:c r="M217" s="33" t="str">
        <x:v>Different method</x:v>
      </x:c>
      <x:c r="N217" s="35" t="str">
        <x:v>Whole-range per-SD Poisson rate ratios do not answer per-log10 fixed-window ORs or above-knot recurrent-event HRs.</x:v>
      </x:c>
    </x:row>
    <x:row r="218" ht="54" customHeight="1">
      <x:c r="A218" s="32" t="str">
        <x:v>FR-0005</x:v>
      </x:c>
      <x:c r="B218" s="33" t="str">
        <x:v>Biomni</x:v>
      </x:c>
      <x:c r="C218" s="33" t="str">
        <x:v>A30</x:v>
      </x:c>
      <x:c r="D218" s="33" t="str">
        <x:v>SpyCEP: HR for any culture-confirmed event per 1 log10 IgG above the breakpoint under the fully adjusted model</x:v>
      </x:c>
      <x:c r="E218" s="59" t="n">
        <x:v>0.38</x:v>
      </x:c>
      <x:c r="F218" s="58" t="str">
        <x:v>[0.16, 0.9]</x:v>
      </x:c>
      <x:c r="G218" s="59" t="n">
        <x:v>0.74</x:v>
      </x:c>
      <x:c r="H218" s="58" t="str">
        <x:v>No corresponding executed estimate</x:v>
      </x:c>
      <x:c r="I218" s="58" t="str">
        <x:v>Not reported</x:v>
      </x:c>
      <x:c r="J218" s="57" t="n">
        <x:v>2</x:v>
      </x:c>
      <x:c r="K218" s="34" t="n">
        <x:v>0</x:v>
      </x:c>
      <x:c r="L218" s="34" t="n">
        <x:f>J218*K218</x:f>
        <x:v>0</x:v>
      </x:c>
      <x:c r="M218" s="33" t="str">
        <x:v>Different method</x:v>
      </x:c>
      <x:c r="N218" s="35" t="str">
        <x:v>Whole-range per-SD Poisson rate ratios do not answer per-log10 fixed-window ORs or above-knot recurrent-event HRs.</x:v>
      </x:c>
    </x:row>
    <x:row r="219" ht="48" customHeight="1">
      <x:c r="A219" s="32" t="str">
        <x:v>FR-0005</x:v>
      </x:c>
      <x:c r="B219" s="33" t="str">
        <x:v>Biomni</x:v>
      </x:c>
      <x:c r="C219" s="33" t="str">
        <x:v>A31</x:v>
      </x:c>
      <x:c r="D219" s="33" t="str">
        <x:v>SLO: HR for culture-confirmed carriage in the fully adjusted Andersen-Gill model</x:v>
      </x:c>
      <x:c r="E219" s="59" t="n">
        <x:v>0.01</x:v>
      </x:c>
      <x:c r="F219" s="58" t="str">
        <x:v>[0, 0.13]</x:v>
      </x:c>
      <x:c r="G219" s="59" t="n">
        <x:v>0.13</x:v>
      </x:c>
      <x:c r="H219" s="58" t="str">
        <x:v>No corresponding executed estimate</x:v>
      </x:c>
      <x:c r="I219" s="58" t="str">
        <x:v>Not reported</x:v>
      </x:c>
      <x:c r="J219" s="57" t="n">
        <x:v>1</x:v>
      </x:c>
      <x:c r="K219" s="34" t="n">
        <x:v>0</x:v>
      </x:c>
      <x:c r="L219" s="34" t="n">
        <x:f>J219*K219</x:f>
        <x:v>0</x:v>
      </x:c>
      <x:c r="M219" s="33" t="str">
        <x:v>Different method</x:v>
      </x:c>
      <x:c r="N219" s="35" t="str">
        <x:v>Whole-range per-SD Poisson rate ratios do not answer per-log10 fixed-window ORs or above-knot recurrent-event HRs.</x:v>
      </x:c>
    </x:row>
    <x:row r="220" ht="48" customHeight="1">
      <x:c r="A220" s="32" t="str">
        <x:v>FR-0005</x:v>
      </x:c>
      <x:c r="B220" s="33" t="str">
        <x:v>Biomni</x:v>
      </x:c>
      <x:c r="C220" s="33" t="str">
        <x:v>A32</x:v>
      </x:c>
      <x:c r="D220" s="33" t="str">
        <x:v>SpyAD: HR for culture-confirmed carriage in the fully adjusted Andersen-Gill model</x:v>
      </x:c>
      <x:c r="E220" s="59" t="n">
        <x:v>0.18</x:v>
      </x:c>
      <x:c r="F220" s="58" t="str">
        <x:v>[0.08, 0.41]</x:v>
      </x:c>
      <x:c r="G220" s="59" t="n">
        <x:v>0.33</x:v>
      </x:c>
      <x:c r="H220" s="58" t="str">
        <x:v>No corresponding executed estimate</x:v>
      </x:c>
      <x:c r="I220" s="58" t="str">
        <x:v>Not reported</x:v>
      </x:c>
      <x:c r="J220" s="57" t="n">
        <x:v>1</x:v>
      </x:c>
      <x:c r="K220" s="34" t="n">
        <x:v>0</x:v>
      </x:c>
      <x:c r="L220" s="34" t="n">
        <x:f>J220*K220</x:f>
        <x:v>0</x:v>
      </x:c>
      <x:c r="M220" s="33" t="str">
        <x:v>Different method</x:v>
      </x:c>
      <x:c r="N220" s="35" t="str">
        <x:v>Whole-range per-SD Poisson rate ratios do not answer per-log10 fixed-window ORs or above-knot recurrent-event HRs.</x:v>
      </x:c>
    </x:row>
    <x:row r="221" ht="48" customHeight="1">
      <x:c r="A221" s="32" t="str">
        <x:v>FR-0005</x:v>
      </x:c>
      <x:c r="B221" s="33" t="str">
        <x:v>Biomni</x:v>
      </x:c>
      <x:c r="C221" s="33" t="str">
        <x:v>A33</x:v>
      </x:c>
      <x:c r="D221" s="33" t="str">
        <x:v>SpyCEP: HR for culture-confirmed carriage in the fully adjusted Andersen-Gill model</x:v>
      </x:c>
      <x:c r="E221" s="59" t="n">
        <x:v>0.2</x:v>
      </x:c>
      <x:c r="F221" s="58" t="str">
        <x:v>[0.09, 0.49]</x:v>
      </x:c>
      <x:c r="G221" s="59" t="n">
        <x:v>0.4</x:v>
      </x:c>
      <x:c r="H221" s="58" t="str">
        <x:v>No corresponding executed estimate</x:v>
      </x:c>
      <x:c r="I221" s="58" t="str">
        <x:v>Not reported</x:v>
      </x:c>
      <x:c r="J221" s="57" t="n">
        <x:v>1</x:v>
      </x:c>
      <x:c r="K221" s="34" t="n">
        <x:v>0</x:v>
      </x:c>
      <x:c r="L221" s="34" t="n">
        <x:f>J221*K221</x:f>
        <x:v>0</x:v>
      </x:c>
      <x:c r="M221" s="33" t="str">
        <x:v>Different method</x:v>
      </x:c>
      <x:c r="N221" s="35" t="str">
        <x:v>Whole-range per-SD Poisson rate ratios do not answer per-log10 fixed-window ORs or above-knot recurrent-event HRs.</x:v>
      </x:c>
    </x:row>
    <x:row r="222" ht="48" customHeight="1">
      <x:c r="A222" s="40" t="str">
        <x:v>FR-0001</x:v>
      </x:c>
      <x:c r="B222" s="41" t="str">
        <x:v>BixBench-Agent</x:v>
      </x:c>
      <x:c r="C222" s="41" t="str">
        <x:v>A01</x:v>
      </x:c>
      <x:c r="D222" s="41" t="str">
        <x:v>Unique participants with CGM data in the public subset</x:v>
      </x:c>
      <x:c r="E222" s="54" t="n">
        <x:v>38</x:v>
      </x:c>
      <x:c r="F222" s="55" t="str">
        <x:v>Not specified</x:v>
      </x:c>
      <x:c r="G222" s="55" t="str">
        <x:v>Exact count</x:v>
      </x:c>
      <x:c r="H222" s="54" t="n">
        <x:v>38</x:v>
      </x:c>
      <x:c r="I222" s="55" t="str">
        <x:v>Not reported</x:v>
      </x:c>
      <x:c r="J222" s="54" t="n">
        <x:v>1</x:v>
      </x:c>
      <x:c r="K222" s="56" t="n">
        <x:v>1</x:v>
      </x:c>
      <x:c r="L222" s="56" t="n">
        <x:f>J222*K222</x:f>
        <x:v>1</x:v>
      </x:c>
      <x:c r="M222" s="41" t="str">
        <x:v>Comparable</x:v>
      </x:c>
      <x:c r="N222" s="41" t="str">
        <x:v>Both executed notebook audit and report explicitly identify 38 CGM participants.</x:v>
      </x:c>
    </x:row>
    <x:row r="223" ht="48" customHeight="1">
      <x:c r="A223" s="32" t="str">
        <x:v>FR-0001</x:v>
      </x:c>
      <x:c r="B223" s="33" t="str">
        <x:v>BixBench-Agent</x:v>
      </x:c>
      <x:c r="C223" s="33" t="str">
        <x:v>A02</x:v>
      </x:c>
      <x:c r="D223" s="33" t="str">
        <x:v>Glucose-response curves for the seven unmitigated standard meals</x:v>
      </x:c>
      <x:c r="E223" s="57" t="n">
        <x:v>393</x:v>
      </x:c>
      <x:c r="F223" s="58" t="str">
        <x:v>Not specified</x:v>
      </x:c>
      <x:c r="G223" s="58" t="str">
        <x:v>Exact count</x:v>
      </x:c>
      <x:c r="H223" s="57" t="n">
        <x:v>393</x:v>
      </x:c>
      <x:c r="I223" s="58" t="str">
        <x:v>Not reported</x:v>
      </x:c>
      <x:c r="J223" s="57" t="n">
        <x:v>1</x:v>
      </x:c>
      <x:c r="K223" s="34" t="n">
        <x:v>1</x:v>
      </x:c>
      <x:c r="L223" s="34" t="n">
        <x:f>J223*K223</x:f>
        <x:v>1</x:v>
      </x:c>
      <x:c r="M223" s="33" t="str">
        <x:v>Comparable</x:v>
      </x:c>
      <x:c r="N223" s="35" t="str">
        <x:v>Both executed notebook audit and report explicitly identify 393 unmitigated seven-base-meal curves.</x:v>
      </x:c>
    </x:row>
    <x:row r="224" ht="48" customHeight="1">
      <x:c r="A224" s="32" t="str">
        <x:v>FR-0001</x:v>
      </x:c>
      <x:c r="B224" s="33" t="str">
        <x:v>BixBench-Agent</x:v>
      </x:c>
      <x:c r="C224" s="33" t="str">
        <x:v>A03</x:v>
      </x:c>
      <x:c r="D224" s="33" t="str">
        <x:v>Potatoes: Pearson correlation of first versus second peak glucose increment; paired participants, n=21</x:v>
      </x:c>
      <x:c r="E224" s="59" t="n">
        <x:v>0.6909911814</x:v>
      </x:c>
      <x:c r="F224" s="58" t="str">
        <x:v>[0.369533, 0.864735]</x:v>
      </x:c>
      <x:c r="G224" s="59" t="n">
        <x:v>0.4952016496</x:v>
      </x:c>
      <x:c r="H224" s="58" t="str">
        <x:v>No corresponding executed estimate</x:v>
      </x:c>
      <x:c r="I224" s="58" t="str">
        <x:v>Not reported</x:v>
      </x:c>
      <x:c r="J224" s="57" t="n">
        <x:v>1</x:v>
      </x:c>
      <x:c r="K224" s="34" t="n">
        <x:v>0</x:v>
      </x:c>
      <x:c r="L224" s="34" t="n">
        <x:f>J224*K224</x:f>
        <x:v>0</x:v>
      </x:c>
      <x:c r="M224" s="33" t="str">
        <x:v>Different method</x:v>
      </x:c>
      <x:c r="N224" s="35" t="str">
        <x:v>Reported same-meal ICC and pooled repeat iAUC Pearson correlations are not Potatoes-only first-vs-second peak-increment Pearson correlation.</x:v>
      </x:c>
    </x:row>
    <x:row r="225" ht="48" customHeight="1">
      <x:c r="A225" s="32" t="str">
        <x:v>FR-0001</x:v>
      </x:c>
      <x:c r="B225" s="33" t="str">
        <x:v>BixBench-Agent</x:v>
      </x:c>
      <x:c r="C225" s="33" t="str">
        <x:v>A04</x:v>
      </x:c>
      <x:c r="D225" s="33" t="str">
        <x:v>Within-participant Rice minus Beans mean peak glucose increment (mg/dL); 21 pairs</x:v>
      </x:c>
      <x:c r="E225" s="59" t="n">
        <x:v>39.2518017663</x:v>
      </x:c>
      <x:c r="F225" s="58" t="str">
        <x:v>[30.6632, 47.8404]</x:v>
      </x:c>
      <x:c r="G225" s="59" t="n">
        <x:v>17.1772122957</x:v>
      </x:c>
      <x:c r="H225" s="58" t="str">
        <x:v>No corresponding executed estimate</x:v>
      </x:c>
      <x:c r="I225" s="58" t="str">
        <x:v>Not reported</x:v>
      </x:c>
      <x:c r="J225" s="57" t="n">
        <x:v>1</x:v>
      </x:c>
      <x:c r="K225" s="34" t="n">
        <x:v>0</x:v>
      </x:c>
      <x:c r="L225" s="34" t="n">
        <x:f>J225*K225</x:f>
        <x:v>0</x:v>
      </x:c>
      <x:c r="M225" s="33" t="str">
        <x:v>Different method</x:v>
      </x:c>
      <x:c r="N225" s="35" t="str">
        <x:v>Actual main outcome is iAUC rather than peak increment, and physiology models use continuous SSPG/DI rather than the reference contrast; the same estimand gate fails.</x:v>
      </x:c>
    </x:row>
    <x:row r="226" ht="54" customHeight="1">
      <x:c r="A226" s="32" t="str">
        <x:v>FR-0001</x:v>
      </x:c>
      <x:c r="B226" s="33" t="str">
        <x:v>BixBench-Agent</x:v>
      </x:c>
      <x:c r="C226" s="33" t="str">
        <x:v>A05</x:v>
      </x:c>
      <x:c r="D226" s="33" t="str">
        <x:v>Potatoes: participant-mean peak increment, insulin-resistant minus insulin-sensitive (mg/dL); SSPG groups, n=14 versus 17</x:v>
      </x:c>
      <x:c r="E226" s="59" t="n">
        <x:v>22.9003192008</x:v>
      </x:c>
      <x:c r="F226" s="58" t="str">
        <x:v>[4.76207, 41.0386]</x:v>
      </x:c>
      <x:c r="G226" s="59" t="n">
        <x:v>36.2764959992</x:v>
      </x:c>
      <x:c r="H226" s="58" t="str">
        <x:v>No corresponding executed estimate</x:v>
      </x:c>
      <x:c r="I226" s="58" t="str">
        <x:v>Not reported</x:v>
      </x:c>
      <x:c r="J226" s="57" t="n">
        <x:v>2</x:v>
      </x:c>
      <x:c r="K226" s="34" t="n">
        <x:v>0</x:v>
      </x:c>
      <x:c r="L226" s="34" t="n">
        <x:f>J226*K226</x:f>
        <x:v>0</x:v>
      </x:c>
      <x:c r="M226" s="33" t="str">
        <x:v>Different method</x:v>
      </x:c>
      <x:c r="N226" s="35" t="str">
        <x:v>Actual main outcome is iAUC rather than peak increment, and physiology models use continuous SSPG/DI rather than the reference contrast; the same estimand gate fails.</x:v>
      </x:c>
    </x:row>
    <x:row r="227" ht="54" customHeight="1">
      <x:c r="A227" s="32" t="str">
        <x:v>FR-0001</x:v>
      </x:c>
      <x:c r="B227" s="33" t="str">
        <x:v>BixBench-Agent</x:v>
      </x:c>
      <x:c r="C227" s="33" t="str">
        <x:v>A06</x:v>
      </x:c>
      <x:c r="D227" s="33" t="str">
        <x:v>Potatoes: OLS coefficient of insulin resistance for peak increment (mg/dL), adjusted for BMI, age and sex; n=29</x:v>
      </x:c>
      <x:c r="E227" s="59" t="n">
        <x:v>38.9480203973</x:v>
      </x:c>
      <x:c r="F227" s="58" t="str">
        <x:v>[17.4817, 60.4144]</x:v>
      </x:c>
      <x:c r="G227" s="59" t="n">
        <x:v>42.93273471</x:v>
      </x:c>
      <x:c r="H227" s="58" t="str">
        <x:v>No corresponding executed estimate</x:v>
      </x:c>
      <x:c r="I227" s="58" t="str">
        <x:v>Not reported</x:v>
      </x:c>
      <x:c r="J227" s="57" t="n">
        <x:v>2</x:v>
      </x:c>
      <x:c r="K227" s="34" t="n">
        <x:v>0</x:v>
      </x:c>
      <x:c r="L227" s="34" t="n">
        <x:f>J227*K227</x:f>
        <x:v>0</x:v>
      </x:c>
      <x:c r="M227" s="33" t="str">
        <x:v>Different method</x:v>
      </x:c>
      <x:c r="N227" s="35" t="str">
        <x:v>Actual main outcome is iAUC rather than peak increment, and physiology models use continuous SSPG/DI rather than the reference contrast; the same estimand gate fails.</x:v>
      </x:c>
    </x:row>
    <x:row r="228" ht="54" customHeight="1">
      <x:c r="A228" s="32" t="str">
        <x:v>FR-0001</x:v>
      </x:c>
      <x:c r="B228" s="33" t="str">
        <x:v>BixBench-Agent</x:v>
      </x:c>
      <x:c r="C228" s="33" t="str">
        <x:v>A07</x:v>
      </x:c>
      <x:c r="D228" s="33" t="str">
        <x:v>Pasta: participant-mean peak increment, insulin-resistant minus insulin-sensitive (mg/dL); n=13 versus 9</x:v>
      </x:c>
      <x:c r="E228" s="59" t="n">
        <x:v>19.7260427339</x:v>
      </x:c>
      <x:c r="F228" s="58" t="str">
        <x:v>[-0.461107, 39.9132]</x:v>
      </x:c>
      <x:c r="G228" s="59" t="n">
        <x:v>40.3742991893</x:v>
      </x:c>
      <x:c r="H228" s="58" t="str">
        <x:v>No corresponding executed estimate</x:v>
      </x:c>
      <x:c r="I228" s="58" t="str">
        <x:v>Not reported</x:v>
      </x:c>
      <x:c r="J228" s="57" t="n">
        <x:v>1</x:v>
      </x:c>
      <x:c r="K228" s="34" t="n">
        <x:v>0</x:v>
      </x:c>
      <x:c r="L228" s="34" t="n">
        <x:f>J228*K228</x:f>
        <x:v>0</x:v>
      </x:c>
      <x:c r="M228" s="33" t="str">
        <x:v>Different method</x:v>
      </x:c>
      <x:c r="N228" s="35" t="str">
        <x:v>Actual main outcome is iAUC rather than peak increment, and physiology models use continuous SSPG/DI rather than the reference contrast; the same estimand gate fails.</x:v>
      </x:c>
    </x:row>
    <x:row r="229" ht="54" customHeight="1">
      <x:c r="A229" s="32" t="str">
        <x:v>FR-0001</x:v>
      </x:c>
      <x:c r="B229" s="33" t="str">
        <x:v>BixBench-Agent</x:v>
      </x:c>
      <x:c r="C229" s="33" t="str">
        <x:v>A08</x:v>
      </x:c>
      <x:c r="D229" s="33" t="str">
        <x:v>Potatoes: participant-mean peak increment, dysfunctional minus normal beta-cell function (mg/dL); DI groups, n=11 versus 8</x:v>
      </x:c>
      <x:c r="E229" s="59" t="n">
        <x:v>26.7850824792</x:v>
      </x:c>
      <x:c r="F229" s="58" t="str">
        <x:v>[5.73288, 47.8373]</x:v>
      </x:c>
      <x:c r="G229" s="59" t="n">
        <x:v>42.1044051555</x:v>
      </x:c>
      <x:c r="H229" s="58" t="str">
        <x:v>No corresponding executed estimate</x:v>
      </x:c>
      <x:c r="I229" s="58" t="str">
        <x:v>Not reported</x:v>
      </x:c>
      <x:c r="J229" s="57" t="n">
        <x:v>2</x:v>
      </x:c>
      <x:c r="K229" s="34" t="n">
        <x:v>0</x:v>
      </x:c>
      <x:c r="L229" s="34" t="n">
        <x:f>J229*K229</x:f>
        <x:v>0</x:v>
      </x:c>
      <x:c r="M229" s="33" t="str">
        <x:v>Different method</x:v>
      </x:c>
      <x:c r="N229" s="35" t="str">
        <x:v>Actual main outcome is iAUC rather than peak increment, and physiology models use continuous SSPG/DI rather than the reference contrast; the same estimand gate fails.</x:v>
      </x:c>
    </x:row>
    <x:row r="230" ht="48" customHeight="1">
      <x:c r="A230" s="32" t="str">
        <x:v>FR-0001</x:v>
      </x:c>
      <x:c r="B230" s="33" t="str">
        <x:v>BixBench-Agent</x:v>
      </x:c>
      <x:c r="C230" s="33" t="str">
        <x:v>A09</x:v>
      </x:c>
      <x:c r="D230" s="33" t="str">
        <x:v>Spearman correlation between participant-level Potatoes/Grapes peak-increment ratio and SSPG; n=31</x:v>
      </x:c>
      <x:c r="E230" s="59" t="n">
        <x:v>0.6728500891</x:v>
      </x:c>
      <x:c r="F230" s="58" t="str">
        <x:v>[0.40884, 0.802562]</x:v>
      </x:c>
      <x:c r="G230" s="59" t="n">
        <x:v>0.3937219199</x:v>
      </x:c>
      <x:c r="H230" s="58" t="str">
        <x:v>No corresponding executed estimate</x:v>
      </x:c>
      <x:c r="I230" s="58" t="str">
        <x:v>Not reported</x:v>
      </x:c>
      <x:c r="J230" s="57" t="n">
        <x:v>2</x:v>
      </x:c>
      <x:c r="K230" s="34" t="n">
        <x:v>0</x:v>
      </x:c>
      <x:c r="L230" s="34" t="n">
        <x:f>J230*K230</x:f>
        <x:v>0</x:v>
      </x:c>
      <x:c r="M230" s="33" t="str">
        <x:v>Different method</x:v>
      </x:c>
      <x:c r="N230" s="35" t="str">
        <x:v>Actual main outcome is iAUC rather than peak increment, and physiology models use continuous SSPG/DI rather than the reference contrast; the same estimand gate fails.</x:v>
      </x:c>
    </x:row>
    <x:row r="231" ht="54" customHeight="1">
      <x:c r="A231" s="40" t="str">
        <x:v>FR-0002</x:v>
      </x:c>
      <x:c r="B231" s="41" t="str">
        <x:v>BixBench-Agent</x:v>
      </x:c>
      <x:c r="C231" s="41" t="str">
        <x:v>A1</x:v>
      </x:c>
      <x:c r="D231" s="41" t="str">
        <x:v>Participants with analyzable DNA sequencing</x:v>
      </x:c>
      <x:c r="E231" s="54" t="n">
        <x:v>89</x:v>
      </x:c>
      <x:c r="F231" s="55" t="str">
        <x:v>Not specified</x:v>
      </x:c>
      <x:c r="G231" s="54" t="n">
        <x:v>0</x:v>
      </x:c>
      <x:c r="H231" s="55" t="str">
        <x:v>No corresponding executed estimate</x:v>
      </x:c>
      <x:c r="I231" s="55" t="str">
        <x:v>Not reported</x:v>
      </x:c>
      <x:c r="J231" s="54" t="n">
        <x:v>1</x:v>
      </x:c>
      <x:c r="K231" s="56" t="n">
        <x:v>0</x:v>
      </x:c>
      <x:c r="L231" s="56" t="n">
        <x:f>J231*K231</x:f>
        <x:v>0</x:v>
      </x:c>
      <x:c r="M231" s="41" t="str">
        <x:v>Not answered</x:v>
      </x:c>
      <x:c r="N231" s="41" t="str">
        <x:v>Only sample counts by assay/arm/visit and paired arm denominators are explicitly produced; no explicit assay-wide sample/participant totals. No assay-wide aggregate is explicitly produced.</x:v>
      </x:c>
    </x:row>
    <x:row r="232" ht="54" customHeight="1">
      <x:c r="A232" s="32" t="str">
        <x:v>FR-0002</x:v>
      </x:c>
      <x:c r="B232" s="33" t="str">
        <x:v>BixBench-Agent</x:v>
      </x:c>
      <x:c r="C232" s="33" t="str">
        <x:v>A2</x:v>
      </x:c>
      <x:c r="D232" s="33" t="str">
        <x:v>DNA sequencing samples across both study arms and visits</x:v>
      </x:c>
      <x:c r="E232" s="57" t="n">
        <x:v>127</x:v>
      </x:c>
      <x:c r="F232" s="58" t="str">
        <x:v>Not specified</x:v>
      </x:c>
      <x:c r="G232" s="57" t="n">
        <x:v>0</x:v>
      </x:c>
      <x:c r="H232" s="58" t="str">
        <x:v>No corresponding executed estimate</x:v>
      </x:c>
      <x:c r="I232" s="58" t="str">
        <x:v>Not reported</x:v>
      </x:c>
      <x:c r="J232" s="57" t="n">
        <x:v>1</x:v>
      </x:c>
      <x:c r="K232" s="34" t="n">
        <x:v>0</x:v>
      </x:c>
      <x:c r="L232" s="34" t="n">
        <x:f>J232*K232</x:f>
        <x:v>0</x:v>
      </x:c>
      <x:c r="M232" s="33" t="str">
        <x:v>Not answered</x:v>
      </x:c>
      <x:c r="N232" s="35" t="str">
        <x:v>Only sample counts by assay/arm/visit and paired arm denominators are explicitly produced; no explicit assay-wide sample/participant totals. No assay-wide aggregate is explicitly produced.</x:v>
      </x:c>
    </x:row>
    <x:row r="233" ht="54" customHeight="1">
      <x:c r="A233" s="32" t="str">
        <x:v>FR-0002</x:v>
      </x:c>
      <x:c r="B233" s="33" t="str">
        <x:v>BixBench-Agent</x:v>
      </x:c>
      <x:c r="C233" s="33" t="str">
        <x:v>A3</x:v>
      </x:c>
      <x:c r="D233" s="33" t="str">
        <x:v>Participants with analyzable RNA sequencing</x:v>
      </x:c>
      <x:c r="E233" s="57" t="n">
        <x:v>70</x:v>
      </x:c>
      <x:c r="F233" s="58" t="str">
        <x:v>Not specified</x:v>
      </x:c>
      <x:c r="G233" s="57" t="n">
        <x:v>0</x:v>
      </x:c>
      <x:c r="H233" s="58" t="str">
        <x:v>No corresponding executed estimate</x:v>
      </x:c>
      <x:c r="I233" s="58" t="str">
        <x:v>Not reported</x:v>
      </x:c>
      <x:c r="J233" s="57" t="n">
        <x:v>1</x:v>
      </x:c>
      <x:c r="K233" s="34" t="n">
        <x:v>0</x:v>
      </x:c>
      <x:c r="L233" s="34" t="n">
        <x:f>J233*K233</x:f>
        <x:v>0</x:v>
      </x:c>
      <x:c r="M233" s="33" t="str">
        <x:v>Not answered</x:v>
      </x:c>
      <x:c r="N233" s="35" t="str">
        <x:v>Only sample counts by assay/arm/visit and paired arm denominators are explicitly produced; no explicit assay-wide sample/participant totals. No assay-wide aggregate is explicitly produced.</x:v>
      </x:c>
    </x:row>
    <x:row r="234" ht="54" customHeight="1">
      <x:c r="A234" s="32" t="str">
        <x:v>FR-0002</x:v>
      </x:c>
      <x:c r="B234" s="33" t="str">
        <x:v>BixBench-Agent</x:v>
      </x:c>
      <x:c r="C234" s="33" t="str">
        <x:v>A4</x:v>
      </x:c>
      <x:c r="D234" s="33" t="str">
        <x:v>RNA sequencing samples across both study arms and visits</x:v>
      </x:c>
      <x:c r="E234" s="57" t="n">
        <x:v>86</x:v>
      </x:c>
      <x:c r="F234" s="58" t="str">
        <x:v>Not specified</x:v>
      </x:c>
      <x:c r="G234" s="57" t="n">
        <x:v>0</x:v>
      </x:c>
      <x:c r="H234" s="58" t="str">
        <x:v>No corresponding executed estimate</x:v>
      </x:c>
      <x:c r="I234" s="58" t="str">
        <x:v>Not reported</x:v>
      </x:c>
      <x:c r="J234" s="57" t="n">
        <x:v>1</x:v>
      </x:c>
      <x:c r="K234" s="34" t="n">
        <x:v>0</x:v>
      </x:c>
      <x:c r="L234" s="34" t="n">
        <x:f>J234*K234</x:f>
        <x:v>0</x:v>
      </x:c>
      <x:c r="M234" s="33" t="str">
        <x:v>Not answered</x:v>
      </x:c>
      <x:c r="N234" s="35" t="str">
        <x:v>Only sample counts by assay/arm/visit and paired arm denominators are explicitly produced; no explicit assay-wide sample/participant totals. No assay-wide aggregate is explicitly produced.</x:v>
      </x:c>
    </x:row>
    <x:row r="235" ht="67.5" customHeight="1">
      <x:c r="A235" s="32" t="str">
        <x:v>FR-0002</x:v>
      </x:c>
      <x:c r="B235" s="33" t="str">
        <x:v>BixBench-Agent</x:v>
      </x:c>
      <x:c r="C235" s="33" t="str">
        <x:v>A5</x:v>
      </x:c>
      <x:c r="D235" s="33" t="str">
        <x:v>Distinct tetracycline ARGs detected across all day-0 DNA samples</x:v>
      </x:c>
      <x:c r="E235" s="57" t="n">
        <x:v>41</x:v>
      </x:c>
      <x:c r="F235" s="58" t="str">
        <x:v>Not specified</x:v>
      </x:c>
      <x:c r="G235" s="57" t="n">
        <x:v>5</x:v>
      </x:c>
      <x:c r="H235" s="58" t="str">
        <x:v>Different estimand; see verification</x:v>
      </x:c>
      <x:c r="I235" s="58" t="str">
        <x:v>Not reported</x:v>
      </x:c>
      <x:c r="J235" s="57" t="n">
        <x:v>1</x:v>
      </x:c>
      <x:c r="K235" s="34" t="n">
        <x:v>0</x:v>
      </x:c>
      <x:c r="L235" s="34" t="n">
        <x:f>J235*K235</x:f>
        <x:v>0</x:v>
      </x:c>
      <x:c r="M235" s="33" t="str">
        <x:v>Different estimand</x:v>
      </x:c>
      <x:c r="N235"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36" ht="67.5" customHeight="1">
      <x:c r="A236" s="32" t="str">
        <x:v>FR-0002</x:v>
      </x:c>
      <x:c r="B236" s="33" t="str">
        <x:v>BixBench-Agent</x:v>
      </x:c>
      <x:c r="C236" s="33" t="str">
        <x:v>A6</x:v>
      </x:c>
      <x:c r="D236" s="33" t="str">
        <x:v>Distinct tetracycline ARGs detected across all day-0 RNA samples</x:v>
      </x:c>
      <x:c r="E236" s="57" t="n">
        <x:v>17</x:v>
      </x:c>
      <x:c r="F236" s="58" t="str">
        <x:v>Not specified</x:v>
      </x:c>
      <x:c r="G236" s="57" t="n">
        <x:v>4</x:v>
      </x:c>
      <x:c r="H236" s="58" t="str">
        <x:v>Different estimand; see verification</x:v>
      </x:c>
      <x:c r="I236" s="58" t="str">
        <x:v>Not reported</x:v>
      </x:c>
      <x:c r="J236" s="57" t="n">
        <x:v>1</x:v>
      </x:c>
      <x:c r="K236" s="34" t="n">
        <x:v>0</x:v>
      </x:c>
      <x:c r="L236" s="34" t="n">
        <x:f>J236*K236</x:f>
        <x:v>0</x:v>
      </x:c>
      <x:c r="M236" s="33" t="str">
        <x:v>Different estimand</x:v>
      </x:c>
      <x:c r="N236"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37" ht="67.5" customHeight="1">
      <x:c r="A237" s="32" t="str">
        <x:v>FR-0002</x:v>
      </x:c>
      <x:c r="B237" s="33" t="str">
        <x:v>BixBench-Agent</x:v>
      </x:c>
      <x:c r="C237" s="33" t="str">
        <x:v>A7</x:v>
      </x:c>
      <x:c r="D237" s="33" t="str">
        <x:v>Day-0 DNA samples with at least one tetracycline ARG; proportion, 58/58</x:v>
      </x:c>
      <x:c r="E237" s="57" t="n">
        <x:v>1</x:v>
      </x:c>
      <x:c r="F237" s="58" t="str">
        <x:v>Not specified</x:v>
      </x:c>
      <x:c r="G237" s="59" t="n">
        <x:v>0.05</x:v>
      </x:c>
      <x:c r="H237" s="58" t="str">
        <x:v>Different estimand; see verification</x:v>
      </x:c>
      <x:c r="I237" s="58" t="str">
        <x:v>Not reported</x:v>
      </x:c>
      <x:c r="J237" s="57" t="n">
        <x:v>1</x:v>
      </x:c>
      <x:c r="K237" s="34" t="n">
        <x:v>0</x:v>
      </x:c>
      <x:c r="L237" s="34" t="n">
        <x:f>J237*K237</x:f>
        <x:v>0</x:v>
      </x:c>
      <x:c r="M237" s="33" t="str">
        <x:v>Different estimand</x:v>
      </x:c>
      <x:c r="N237"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38" ht="67.5" customHeight="1">
      <x:c r="A238" s="32" t="str">
        <x:v>FR-0002</x:v>
      </x:c>
      <x:c r="B238" s="33" t="str">
        <x:v>BixBench-Agent</x:v>
      </x:c>
      <x:c r="C238" s="33" t="str">
        <x:v>A8</x:v>
      </x:c>
      <x:c r="D238" s="33" t="str">
        <x:v>Day-0 RNA samples with at least one tetracycline ARG; proportion, 22/26</x:v>
      </x:c>
      <x:c r="E238" s="59" t="n">
        <x:v>0.85</x:v>
      </x:c>
      <x:c r="F238" s="58" t="str">
        <x:v>Not specified</x:v>
      </x:c>
      <x:c r="G238" s="59" t="n">
        <x:v>0.1</x:v>
      </x:c>
      <x:c r="H238" s="58" t="str">
        <x:v>Different estimand; see verification</x:v>
      </x:c>
      <x:c r="I238" s="58" t="str">
        <x:v>Not reported</x:v>
      </x:c>
      <x:c r="J238" s="57" t="n">
        <x:v>1</x:v>
      </x:c>
      <x:c r="K238" s="34" t="n">
        <x:v>0</x:v>
      </x:c>
      <x:c r="L238" s="34" t="n">
        <x:f>J238*K238</x:f>
        <x:v>0</x:v>
      </x:c>
      <x:c r="M238" s="33" t="str">
        <x:v>Different estimand</x:v>
      </x:c>
      <x:c r="N238"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39" ht="67.5" customHeight="1">
      <x:c r="A239" s="32" t="str">
        <x:v>FR-0002</x:v>
      </x:c>
      <x:c r="B239" s="33" t="str">
        <x:v>BixBench-Agent</x:v>
      </x:c>
      <x:c r="C239" s="33" t="str">
        <x:v>A9</x:v>
      </x:c>
      <x:c r="D239" s="33" t="str">
        <x:v>Within doxy-PEP: month 6 versus day 0 coefficient for DNA tetracycline ARG mass proportion; zero/one-inflated beta model, logit mu, adjusted for HIV and cephalosporin days</x:v>
      </x:c>
      <x:c r="E239" s="59" t="n">
        <x:v>0.45</x:v>
      </x:c>
      <x:c r="F239" s="58" t="str">
        <x:v>[0.19, 0.7]</x:v>
      </x:c>
      <x:c r="G239" s="59" t="n">
        <x:v>0.51</x:v>
      </x:c>
      <x:c r="H239" s="58" t="str">
        <x:v>Different estimand; see verification</x:v>
      </x:c>
      <x:c r="I239" s="58" t="str">
        <x:v>Not reported</x:v>
      </x:c>
      <x:c r="J239" s="57" t="n">
        <x:v>2</x:v>
      </x:c>
      <x:c r="K239" s="34" t="n">
        <x:v>0</x:v>
      </x:c>
      <x:c r="L239" s="34" t="n">
        <x:f>J239*K239</x:f>
        <x:v>0</x:v>
      </x:c>
      <x:c r="M239" s="33" t="str">
        <x:v>Different estimand</x:v>
      </x:c>
      <x:c r="N239"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40" ht="67.5" customHeight="1">
      <x:c r="A240" s="32" t="str">
        <x:v>FR-0002</x:v>
      </x:c>
      <x:c r="B240" s="33" t="str">
        <x:v>BixBench-Agent</x:v>
      </x:c>
      <x:c r="C240" s="33" t="str">
        <x:v>A10</x:v>
      </x:c>
      <x:c r="D240" s="33" t="str">
        <x:v>Within doxy-PEP: month 6 versus day 0 coefficient for RNA tetracycline ARG expression-mass proportion; zero/one-inflated beta model, logit mu, adjusted for HIV and cephalosporin days</x:v>
      </x:c>
      <x:c r="E240" s="59" t="n">
        <x:v>1.5</x:v>
      </x:c>
      <x:c r="F240" s="58" t="str">
        <x:v>[0.94, 2]</x:v>
      </x:c>
      <x:c r="G240" s="59" t="n">
        <x:v>1.06</x:v>
      </x:c>
      <x:c r="H240" s="58" t="str">
        <x:v>Different estimand; see verification</x:v>
      </x:c>
      <x:c r="I240" s="58" t="str">
        <x:v>Not reported</x:v>
      </x:c>
      <x:c r="J240" s="57" t="n">
        <x:v>2</x:v>
      </x:c>
      <x:c r="K240" s="34" t="n">
        <x:v>0</x:v>
      </x:c>
      <x:c r="L240" s="34" t="n">
        <x:f>J240*K240</x:f>
        <x:v>0</x:v>
      </x:c>
      <x:c r="M240" s="33" t="str">
        <x:v>Different estimand</x:v>
      </x:c>
      <x:c r="N240"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41" ht="67.5" customHeight="1">
      <x:c r="A241" s="32" t="str">
        <x:v>FR-0002</x:v>
      </x:c>
      <x:c r="B241" s="33" t="str">
        <x:v>BixBench-Agent</x:v>
      </x:c>
      <x:c r="C241" s="33" t="str">
        <x:v>A11</x:v>
      </x:c>
      <x:c r="D241" s="33" t="str">
        <x:v>Within doxy-PEP: month 6 versus day 0 coefficient for RNA MLS ARG expression-mass proportion; zero/one-inflated beta model, logit mu, adjusted for HIV and cephalosporin days</x:v>
      </x:c>
      <x:c r="E241" s="59" t="n">
        <x:v>-0.76</x:v>
      </x:c>
      <x:c r="F241" s="58" t="str">
        <x:v>[-1.37, -0.15]</x:v>
      </x:c>
      <x:c r="G241" s="59" t="n">
        <x:v>1.22</x:v>
      </x:c>
      <x:c r="H241" s="58" t="str">
        <x:v>Different estimand; see verification</x:v>
      </x:c>
      <x:c r="I241" s="58" t="str">
        <x:v>Not reported</x:v>
      </x:c>
      <x:c r="J241" s="57" t="n">
        <x:v>1</x:v>
      </x:c>
      <x:c r="K241" s="34" t="n">
        <x:v>0</x:v>
      </x:c>
      <x:c r="L241" s="34" t="n">
        <x:f>J241*K241</x:f>
        <x:v>0</x:v>
      </x:c>
      <x:c r="M241" s="33" t="str">
        <x:v>Different estimand</x:v>
      </x:c>
      <x:c r="N241"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42" ht="67.5" customHeight="1">
      <x:c r="A242" s="32" t="str">
        <x:v>FR-0002</x:v>
      </x:c>
      <x:c r="B242" s="33" t="str">
        <x:v>BixBench-Agent</x:v>
      </x:c>
      <x:c r="C242" s="33" t="str">
        <x:v>A12</x:v>
      </x:c>
      <x:c r="D242" s="33" t="str">
        <x:v>All DNA samples: Spearman correlation of four cumulative doxycycline-dose categories with tetracycline ARG mass proportion</x:v>
      </x:c>
      <x:c r="E242" s="59" t="n">
        <x:v>0.23</x:v>
      </x:c>
      <x:c r="F242" s="58" t="str">
        <x:v>Not specified</x:v>
      </x:c>
      <x:c r="G242" s="59" t="n">
        <x:v>0.1</x:v>
      </x:c>
      <x:c r="H242" s="58" t="str">
        <x:v>Different estimand; see verification</x:v>
      </x:c>
      <x:c r="I242" s="58" t="str">
        <x:v>Not reported</x:v>
      </x:c>
      <x:c r="J242" s="57" t="n">
        <x:v>1</x:v>
      </x:c>
      <x:c r="K242" s="34" t="n">
        <x:v>0</x:v>
      </x:c>
      <x:c r="L242" s="34" t="n">
        <x:f>J242*K242</x:f>
        <x:v>0</x:v>
      </x:c>
      <x:c r="M242" s="33" t="str">
        <x:v>Different estimand</x:v>
      </x:c>
      <x:c r="N242"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43" ht="67.5" customHeight="1">
      <x:c r="A243" s="32" t="str">
        <x:v>FR-0002</x:v>
      </x:c>
      <x:c r="B243" s="33" t="str">
        <x:v>BixBench-Agent</x:v>
      </x:c>
      <x:c r="C243" s="33" t="str">
        <x:v>A13</x:v>
      </x:c>
      <x:c r="D243" s="33" t="str">
        <x:v>All RNA samples: Spearman correlation of four cumulative doxycycline-dose categories with expressed tetracycline ARG richness</x:v>
      </x:c>
      <x:c r="E243" s="59" t="n">
        <x:v>0.39</x:v>
      </x:c>
      <x:c r="F243" s="58" t="str">
        <x:v>Not specified</x:v>
      </x:c>
      <x:c r="G243" s="59" t="n">
        <x:v>0.15</x:v>
      </x:c>
      <x:c r="H243" s="58" t="str">
        <x:v>Different estimand; see verification</x:v>
      </x:c>
      <x:c r="I243" s="58" t="str">
        <x:v>Not reported</x:v>
      </x:c>
      <x:c r="J243" s="57" t="n">
        <x:v>1</x:v>
      </x:c>
      <x:c r="K243" s="34" t="n">
        <x:v>0</x:v>
      </x:c>
      <x:c r="L243" s="34" t="n">
        <x:f>J243*K243</x:f>
        <x:v>0</x:v>
      </x:c>
      <x:c r="M243" s="33" t="str">
        <x:v>Different estimand</x:v>
      </x:c>
      <x:c r="N243"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44" ht="67.5" customHeight="1">
      <x:c r="A244" s="32" t="str">
        <x:v>FR-0002</x:v>
      </x:c>
      <x:c r="B244" s="33" t="str">
        <x:v>BixBench-Agent</x:v>
      </x:c>
      <x:c r="C244" s="33" t="str">
        <x:v>A14</x:v>
      </x:c>
      <x:c r="D244" s="33" t="str">
        <x:v>All RNA samples: Spearman correlation of four cumulative doxycycline-dose categories with expressed tetracycline ARG mass proportion</x:v>
      </x:c>
      <x:c r="E244" s="59" t="n">
        <x:v>0.55</x:v>
      </x:c>
      <x:c r="F244" s="58" t="str">
        <x:v>Not specified</x:v>
      </x:c>
      <x:c r="G244" s="59" t="n">
        <x:v>0.15</x:v>
      </x:c>
      <x:c r="H244" s="58" t="str">
        <x:v>Different estimand; see verification</x:v>
      </x:c>
      <x:c r="I244" s="58" t="str">
        <x:v>Not reported</x:v>
      </x:c>
      <x:c r="J244" s="57" t="n">
        <x:v>1</x:v>
      </x:c>
      <x:c r="K244" s="34" t="n">
        <x:v>0</x:v>
      </x:c>
      <x:c r="L244" s="34" t="n">
        <x:f>J244*K244</x:f>
        <x:v>0</x:v>
      </x:c>
      <x:c r="M244" s="33" t="str">
        <x:v>Different estimand</x:v>
      </x:c>
      <x:c r="N244" s="35" t="str">
        <x:v>The submitted main estimand is the paired doxy-minus-control difference in log10(total ARG mass + 1e-6), richness or Shannon change; this does not match adjusted within-doxy time effects on class mass proportions, baseline tet prevalence, or categorized-dose associations.</x:v>
      </x:c>
    </x:row>
    <x:row r="245" ht="54" customHeight="1">
      <x:c r="A245" s="40" t="str">
        <x:v>FR-0003</x:v>
      </x:c>
      <x:c r="B245" s="41" t="str">
        <x:v>BixBench-Agent</x:v>
      </x:c>
      <x:c r="C245" s="41" t="str">
        <x:v>A01</x:v>
      </x:c>
      <x:c r="D245" s="41" t="str">
        <x:v>Participants with all three target biopsies (baseline, weeks 24 and 52), both randomized arms</x:v>
      </x:c>
      <x:c r="E245" s="54" t="n">
        <x:v>20</x:v>
      </x:c>
      <x:c r="F245" s="55" t="str">
        <x:v>Not specified</x:v>
      </x:c>
      <x:c r="G245" s="54" t="n">
        <x:v>0</x:v>
      </x:c>
      <x:c r="H245" s="55" t="str">
        <x:v>No corresponding executed estimate</x:v>
      </x:c>
      <x:c r="I245" s="55" t="str">
        <x:v>Not reported</x:v>
      </x:c>
      <x:c r="J245" s="54" t="n">
        <x:v>1</x:v>
      </x:c>
      <x:c r="K245" s="56" t="n">
        <x:v>0</x:v>
      </x:c>
      <x:c r="L245" s="56" t="n">
        <x:f>J245*K245</x:f>
        <x:v>0</x:v>
      </x:c>
      <x:c r="M245" s="41" t="str">
        <x:v>Not answered</x:v>
      </x:c>
      <x:c r="N245" s="41" t="str">
        <x:v>Explicit randomized arm sizes 11/11 and follow-up paired arm counts 10/10, 11/10; no explicit 20-person/60-biopsy complete-three-visit cohort total. Evaluator does not aggregate stratified counts into a missing answer.</x:v>
      </x:c>
    </x:row>
    <x:row r="246" ht="54" customHeight="1">
      <x:c r="A246" s="32" t="str">
        <x:v>FR-0003</x:v>
      </x:c>
      <x:c r="B246" s="33" t="str">
        <x:v>BixBench-Agent</x:v>
      </x:c>
      <x:c r="C246" s="33" t="str">
        <x:v>A02</x:v>
      </x:c>
      <x:c r="D246" s="33" t="str">
        <x:v>Biopsies from the 20 participants with all three target visits</x:v>
      </x:c>
      <x:c r="E246" s="57" t="n">
        <x:v>60</x:v>
      </x:c>
      <x:c r="F246" s="58" t="str">
        <x:v>Not specified</x:v>
      </x:c>
      <x:c r="G246" s="57" t="n">
        <x:v>0</x:v>
      </x:c>
      <x:c r="H246" s="58" t="str">
        <x:v>No corresponding executed estimate</x:v>
      </x:c>
      <x:c r="I246" s="58" t="str">
        <x:v>Not reported</x:v>
      </x:c>
      <x:c r="J246" s="57" t="n">
        <x:v>1</x:v>
      </x:c>
      <x:c r="K246" s="34" t="n">
        <x:v>0</x:v>
      </x:c>
      <x:c r="L246" s="34" t="n">
        <x:f>J246*K246</x:f>
        <x:v>0</x:v>
      </x:c>
      <x:c r="M246" s="33" t="str">
        <x:v>Not answered</x:v>
      </x:c>
      <x:c r="N246" s="35" t="str">
        <x:v>Explicit randomized arm sizes 11/11 and follow-up paired arm counts 10/10, 11/10; no explicit 20-person/60-biopsy complete-three-visit cohort total. Evaluator does not aggregate stratified counts into a missing answer.</x:v>
      </x:c>
    </x:row>
    <x:row r="247" ht="54" customHeight="1">
      <x:c r="A247" s="32" t="str">
        <x:v>FR-0003</x:v>
      </x:c>
      <x:c r="B247" s="33" t="str">
        <x:v>BixBench-Agent</x:v>
      </x:c>
      <x:c r="C247" s="33" t="str">
        <x:v>A03</x:v>
      </x:c>
      <x:c r="D247" s="33" t="str">
        <x:v>ABMR probability: felzartamab minus placebo difference in group-median change from baseline to week 24, native scale</x:v>
      </x:c>
      <x:c r="E247" s="59" t="n">
        <x:v>-0.67</x:v>
      </x:c>
      <x:c r="F247" s="58" t="str">
        <x:v>Not specified</x:v>
      </x:c>
      <x:c r="G247" s="59" t="n">
        <x:v>0.35</x:v>
      </x:c>
      <x:c r="H247" s="58" t="str">
        <x:v>No corresponding executed estimate</x:v>
      </x:c>
      <x:c r="I247" s="58" t="str">
        <x:v>Not reported</x:v>
      </x:c>
      <x:c r="J247" s="57" t="n">
        <x:v>2</x:v>
      </x:c>
      <x:c r="K247" s="34" t="n">
        <x:v>0</x:v>
      </x:c>
      <x:c r="L247" s="34" t="n">
        <x:f>J247*K247</x:f>
        <x:v>0</x:v>
      </x:c>
      <x:c r="M247" s="33" t="str">
        <x:v>Different method</x:v>
      </x:c>
      <x:c r="N247" s="35" t="str">
        <x:v>Primary effects average baseline-SD-standardized individual-score changes within a family; individual raw means are secondary. Neither is the reference change in arm medians for one score.</x:v>
      </x:c>
    </x:row>
    <x:row r="248" ht="54" customHeight="1">
      <x:c r="A248" s="32" t="str">
        <x:v>FR-0003</x:v>
      </x:c>
      <x:c r="B248" s="33" t="str">
        <x:v>BixBench-Agent</x:v>
      </x:c>
      <x:c r="C248" s="33" t="str">
        <x:v>A04</x:v>
      </x:c>
      <x:c r="D248" s="33" t="str">
        <x:v>ABMR probability: felzartamab minus placebo difference in group-median change from week 24 to week 52, native scale</x:v>
      </x:c>
      <x:c r="E248" s="59" t="n">
        <x:v>0.79</x:v>
      </x:c>
      <x:c r="F248" s="58" t="str">
        <x:v>Not specified</x:v>
      </x:c>
      <x:c r="G248" s="59" t="n">
        <x:v>0.45</x:v>
      </x:c>
      <x:c r="H248" s="58" t="str">
        <x:v>Different estimand; see verification</x:v>
      </x:c>
      <x:c r="I248" s="58" t="str">
        <x:v>Not reported</x:v>
      </x:c>
      <x:c r="J248" s="57" t="n">
        <x:v>2</x:v>
      </x:c>
      <x:c r="K248" s="34" t="n">
        <x:v>0</x:v>
      </x:c>
      <x:c r="L248" s="34" t="n">
        <x:f>J248*K248</x:f>
        <x:v>0</x:v>
      </x:c>
      <x:c r="M248" s="33" t="str">
        <x:v>Different estimand</x:v>
      </x:c>
      <x:c r="N248" s="35" t="str">
        <x:v>Baseline-to-week52 family contrast does not answer between-arm week24-to52 raw ABMR median-change rebound.</x:v>
      </x:c>
    </x:row>
    <x:row r="249" ht="54" customHeight="1">
      <x:c r="A249" s="32" t="str">
        <x:v>FR-0003</x:v>
      </x:c>
      <x:c r="B249" s="33" t="str">
        <x:v>BixBench-Agent</x:v>
      </x:c>
      <x:c r="C249" s="33" t="str">
        <x:v>A05</x:v>
      </x:c>
      <x:c r="D249" s="33" t="str">
        <x:v>NK cell burden: felzartamab minus placebo difference in group-median change from baseline to week 24, native scale</x:v>
      </x:c>
      <x:c r="E249" s="59" t="n">
        <x:v>-0.8</x:v>
      </x:c>
      <x:c r="F249" s="58" t="str">
        <x:v>Not specified</x:v>
      </x:c>
      <x:c r="G249" s="59" t="n">
        <x:v>0.36</x:v>
      </x:c>
      <x:c r="H249" s="58" t="str">
        <x:v>No corresponding executed estimate</x:v>
      </x:c>
      <x:c r="I249" s="58" t="str">
        <x:v>Not reported</x:v>
      </x:c>
      <x:c r="J249" s="57" t="n">
        <x:v>1</x:v>
      </x:c>
      <x:c r="K249" s="34" t="n">
        <x:v>0</x:v>
      </x:c>
      <x:c r="L249" s="34" t="n">
        <x:f>J249*K249</x:f>
        <x:v>0</x:v>
      </x:c>
      <x:c r="M249" s="33" t="str">
        <x:v>Different method</x:v>
      </x:c>
      <x:c r="N249" s="35" t="str">
        <x:v>Primary effects average baseline-SD-standardized individual-score changes within a family; individual raw means are secondary. Neither is the reference change in arm medians for one score.</x:v>
      </x:c>
    </x:row>
    <x:row r="250" ht="54" customHeight="1">
      <x:c r="A250" s="32" t="str">
        <x:v>FR-0003</x:v>
      </x:c>
      <x:c r="B250" s="33" t="str">
        <x:v>BixBench-Agent</x:v>
      </x:c>
      <x:c r="C250" s="33" t="str">
        <x:v>A06</x:v>
      </x:c>
      <x:c r="D250" s="33" t="str">
        <x:v>TCMR probability: felzartamab minus placebo difference in group-median change from baseline to week 24, native scale</x:v>
      </x:c>
      <x:c r="E250" s="59" t="n">
        <x:v>0.01</x:v>
      </x:c>
      <x:c r="F250" s="58" t="str">
        <x:v>Not specified</x:v>
      </x:c>
      <x:c r="G250" s="59" t="n">
        <x:v>0.05</x:v>
      </x:c>
      <x:c r="H250" s="58" t="str">
        <x:v>No corresponding executed estimate</x:v>
      </x:c>
      <x:c r="I250" s="58" t="str">
        <x:v>Not reported</x:v>
      </x:c>
      <x:c r="J250" s="57" t="n">
        <x:v>1</x:v>
      </x:c>
      <x:c r="K250" s="34" t="n">
        <x:v>0</x:v>
      </x:c>
      <x:c r="L250" s="34" t="n">
        <x:f>J250*K250</x:f>
        <x:v>0</x:v>
      </x:c>
      <x:c r="M250" s="33" t="str">
        <x:v>Different method</x:v>
      </x:c>
      <x:c r="N250" s="35" t="str">
        <x:v>Primary effects average baseline-SD-standardized individual-score changes within a family; individual raw means are secondary. Neither is the reference change in arm medians for one score.</x:v>
      </x:c>
    </x:row>
    <x:row r="251" ht="48" customHeight="1">
      <x:c r="A251" s="32" t="str">
        <x:v>FR-0003</x:v>
      </x:c>
      <x:c r="B251" s="33" t="str">
        <x:v>BixBench-Agent</x:v>
      </x:c>
      <x:c r="C251" s="33" t="str">
        <x:v>A07</x:v>
      </x:c>
      <x:c r="D251" s="33" t="str">
        <x:v>Injury-repair-associated score: felzartamab minus placebo annual linear-trajectory slope difference</x:v>
      </x:c>
      <x:c r="E251" s="59" t="n">
        <x:v>-0.6</x:v>
      </x:c>
      <x:c r="F251" s="58" t="str">
        <x:v>[-1.1, -0.1]</x:v>
      </x:c>
      <x:c r="G251" s="57" t="n">
        <x:v>1</x:v>
      </x:c>
      <x:c r="H251" s="58" t="str">
        <x:v>No corresponding executed estimate</x:v>
      </x:c>
      <x:c r="I251" s="58" t="str">
        <x:v>Not reported</x:v>
      </x:c>
      <x:c r="J251" s="57" t="n">
        <x:v>1</x:v>
      </x:c>
      <x:c r="K251" s="34" t="n">
        <x:v>0</x:v>
      </x:c>
      <x:c r="L251" s="34" t="n">
        <x:f>J251*K251</x:f>
        <x:v>0</x:v>
      </x:c>
      <x:c r="M251" s="33" t="str">
        <x:v>Different method</x:v>
      </x:c>
      <x:c r="N251" s="35" t="str">
        <x:v>Standardized three-score injury family endpoint effect is not any single-score annual slope difference.</x:v>
      </x:c>
    </x:row>
    <x:row r="252" ht="48" customHeight="1">
      <x:c r="A252" s="32" t="str">
        <x:v>FR-0003</x:v>
      </x:c>
      <x:c r="B252" s="33" t="str">
        <x:v>BixBench-Agent</x:v>
      </x:c>
      <x:c r="C252" s="33" t="str">
        <x:v>A08</x:v>
      </x:c>
      <x:c r="D252" s="33" t="str">
        <x:v>Injury-repair day-3 score: felzartamab minus placebo annual linear-trajectory slope difference</x:v>
      </x:c>
      <x:c r="E252" s="59" t="n">
        <x:v>-0.2</x:v>
      </x:c>
      <x:c r="F252" s="58" t="str">
        <x:v>[-0.37, -0.02]</x:v>
      </x:c>
      <x:c r="G252" s="59" t="n">
        <x:v>0.35</x:v>
      </x:c>
      <x:c r="H252" s="58" t="str">
        <x:v>No corresponding executed estimate</x:v>
      </x:c>
      <x:c r="I252" s="58" t="str">
        <x:v>Not reported</x:v>
      </x:c>
      <x:c r="J252" s="57" t="n">
        <x:v>2</x:v>
      </x:c>
      <x:c r="K252" s="34" t="n">
        <x:v>0</x:v>
      </x:c>
      <x:c r="L252" s="34" t="n">
        <x:f>J252*K252</x:f>
        <x:v>0</x:v>
      </x:c>
      <x:c r="M252" s="33" t="str">
        <x:v>Different method</x:v>
      </x:c>
      <x:c r="N252" s="35" t="str">
        <x:v>Standardized three-score injury family endpoint effect is not any single-score annual slope difference.</x:v>
      </x:c>
    </x:row>
    <x:row r="253" ht="48" customHeight="1">
      <x:c r="A253" s="32" t="str">
        <x:v>FR-0003</x:v>
      </x:c>
      <x:c r="B253" s="33" t="str">
        <x:v>BixBench-Agent</x:v>
      </x:c>
      <x:c r="C253" s="33" t="str">
        <x:v>A09</x:v>
      </x:c>
      <x:c r="D253" s="33" t="str">
        <x:v>Injury-repair day-5 score: felzartamab minus placebo annual linear-trajectory slope difference</x:v>
      </x:c>
      <x:c r="E253" s="59" t="n">
        <x:v>-0.23</x:v>
      </x:c>
      <x:c r="F253" s="58" t="str">
        <x:v>[-0.41, -0.05]</x:v>
      </x:c>
      <x:c r="G253" s="59" t="n">
        <x:v>0.36</x:v>
      </x:c>
      <x:c r="H253" s="58" t="str">
        <x:v>No corresponding executed estimate</x:v>
      </x:c>
      <x:c r="I253" s="58" t="str">
        <x:v>Not reported</x:v>
      </x:c>
      <x:c r="J253" s="57" t="n">
        <x:v>2</x:v>
      </x:c>
      <x:c r="K253" s="34" t="n">
        <x:v>0</x:v>
      </x:c>
      <x:c r="L253" s="34" t="n">
        <x:f>J253*K253</x:f>
        <x:v>0</x:v>
      </x:c>
      <x:c r="M253" s="33" t="str">
        <x:v>Different method</x:v>
      </x:c>
      <x:c r="N253" s="35" t="str">
        <x:v>Standardized three-score injury family endpoint effect is not any single-score annual slope difference.</x:v>
      </x:c>
    </x:row>
    <x:row r="254" ht="54" customHeight="1">
      <x:c r="A254" s="32" t="str">
        <x:v>FR-0003</x:v>
      </x:c>
      <x:c r="B254" s="33" t="str">
        <x:v>BixBench-Agent</x:v>
      </x:c>
      <x:c r="C254" s="33" t="str">
        <x:v>A10</x:v>
      </x:c>
      <x:c r="D254" s="33" t="str">
        <x:v>CXCL11: baseline-to-week-24 difference in log fold change under the published limma design (each arm change divided by 2)</x:v>
      </x:c>
      <x:c r="E254" s="59" t="n">
        <x:v>-0.85</x:v>
      </x:c>
      <x:c r="F254" s="58" t="str">
        <x:v>Not specified</x:v>
      </x:c>
      <x:c r="G254" s="59" t="n">
        <x:v>0.2</x:v>
      </x:c>
      <x:c r="H254" s="58" t="str">
        <x:v>No corresponding executed estimate</x:v>
      </x:c>
      <x:c r="I254" s="58" t="str">
        <x:v>Not reported</x:v>
      </x:c>
      <x:c r="J254" s="57" t="n">
        <x:v>1</x:v>
      </x:c>
      <x:c r="K254" s="34" t="n">
        <x:v>0</x:v>
      </x:c>
      <x:c r="L254" s="34" t="n">
        <x:f>J254*K254</x:f>
        <x:v>0</x:v>
      </x:c>
      <x:c r="M254" s="33" t="str">
        <x:v>Not answered</x:v>
      </x:c>
      <x:c r="N254" s="35" t="str">
        <x:v>No executed estimate of this reference target.</x:v>
      </x:c>
    </x:row>
    <x:row r="255" ht="54" customHeight="1">
      <x:c r="A255" s="32" t="str">
        <x:v>FR-0003</x:v>
      </x:c>
      <x:c r="B255" s="33" t="str">
        <x:v>BixBench-Agent</x:v>
      </x:c>
      <x:c r="C255" s="33" t="str">
        <x:v>A11</x:v>
      </x:c>
      <x:c r="D255" s="33" t="str">
        <x:v>Negatively enriched ABMR/immune pathways at FDR &lt;0.05 in the specified multi-database GSEA, baseline to week 24</x:v>
      </x:c>
      <x:c r="E255" s="57" t="n">
        <x:v>12</x:v>
      </x:c>
      <x:c r="F255" s="58" t="str">
        <x:v>Not specified</x:v>
      </x:c>
      <x:c r="G255" s="57" t="n">
        <x:v>1</x:v>
      </x:c>
      <x:c r="H255" s="58" t="str">
        <x:v>No corresponding executed estimate</x:v>
      </x:c>
      <x:c r="I255" s="58" t="str">
        <x:v>Not reported</x:v>
      </x:c>
      <x:c r="J255" s="57" t="n">
        <x:v>1</x:v>
      </x:c>
      <x:c r="K255" s="34" t="n">
        <x:v>0</x:v>
      </x:c>
      <x:c r="L255" s="34" t="n">
        <x:f>J255*K255</x:f>
        <x:v>0</x:v>
      </x:c>
      <x:c r="M255" s="33" t="str">
        <x:v>Not answered</x:v>
      </x:c>
      <x:c r="N255" s="35" t="str">
        <x:v>No executed estimate of this reference target.</x:v>
      </x:c>
    </x:row>
    <x:row r="256" ht="54" customHeight="1">
      <x:c r="A256" s="32" t="str">
        <x:v>FR-0003</x:v>
      </x:c>
      <x:c r="B256" s="33" t="str">
        <x:v>BixBench-Agent</x:v>
      </x:c>
      <x:c r="C256" s="33" t="str">
        <x:v>A12</x:v>
      </x:c>
      <x:c r="D256" s="33" t="str">
        <x:v>Genes annotated as injury-induced and downregulated among the top 20 genes ranked by unadjusted P, baseline to week 52</x:v>
      </x:c>
      <x:c r="E256" s="57" t="n">
        <x:v>17</x:v>
      </x:c>
      <x:c r="F256" s="58" t="str">
        <x:v>Not specified</x:v>
      </x:c>
      <x:c r="G256" s="57" t="n">
        <x:v>1</x:v>
      </x:c>
      <x:c r="H256" s="58" t="str">
        <x:v>No corresponding executed estimate</x:v>
      </x:c>
      <x:c r="I256" s="58" t="str">
        <x:v>Not reported</x:v>
      </x:c>
      <x:c r="J256" s="57" t="n">
        <x:v>1</x:v>
      </x:c>
      <x:c r="K256" s="34" t="n">
        <x:v>0</x:v>
      </x:c>
      <x:c r="L256" s="34" t="n">
        <x:f>J256*K256</x:f>
        <x:v>0</x:v>
      </x:c>
      <x:c r="M256" s="33" t="str">
        <x:v>Not answered</x:v>
      </x:c>
      <x:c r="N256" s="35" t="str">
        <x:v>No executed estimate of this reference target.</x:v>
      </x:c>
    </x:row>
    <x:row r="257" ht="67.5" customHeight="1">
      <x:c r="A257" s="40" t="str">
        <x:v>FR-0004</x:v>
      </x:c>
      <x:c r="B257" s="41" t="str">
        <x:v>BixBench-Agent</x:v>
      </x:c>
      <x:c r="C257" s="41" t="str">
        <x:v>A1</x:v>
      </x:c>
      <x:c r="D257" s="41" t="str">
        <x:v>adjusted difference in VF MD yearly slope (dB/year) per 1-SD higher basal PBMC OCR in the entire treated POAG cohort</x:v>
      </x:c>
      <x:c r="E257" s="60" t="n">
        <x:v>0.186</x:v>
      </x:c>
      <x:c r="F257" s="55" t="str">
        <x:v>[0.1174, 0.2546]</x:v>
      </x:c>
      <x:c r="G257" s="60" t="n">
        <x:v>0.1372</x:v>
      </x:c>
      <x:c r="H257" s="60" t="n">
        <x:v>0.03963411</x:v>
      </x:c>
      <x:c r="I257" s="55" t="str">
        <x:v>[-0.06575452, 0.14502273]</x:v>
      </x:c>
      <x:c r="J257" s="54" t="n">
        <x:v>2</x:v>
      </x:c>
      <x:c r="K257" s="56" t="n">
        <x:v>0.3333333333333333</x:v>
      </x:c>
      <x:c r="L257" s="56" t="n">
        <x:f>J257*K257</x:f>
        <x:v>0.6666666666666666</x:v>
      </x:c>
      <x:c r="M257" s="41" t="str">
        <x:v>Different method</x:v>
      </x:c>
      <x:c r="N257" s="41" t="str">
        <x:v>Same full-cohort adjusted per-patient-SD annual MD slope contrast. Patient GEE with baseline-MD and covariate-by-time terms produces smaller positive estimates. Basal lies outside reference tolerance; the other three lie within tolerance but outside reference CI. R direction does not imply statistical significance.</x:v>
      </x:c>
    </x:row>
    <x:row r="258" ht="48" customHeight="1">
      <x:c r="A258" s="32" t="str">
        <x:v>FR-0004</x:v>
      </x:c>
      <x:c r="B258" s="33" t="str">
        <x:v>BixBench-Agent</x:v>
      </x:c>
      <x:c r="C258" s="33" t="str">
        <x:v>A2</x:v>
      </x:c>
      <x:c r="D258" s="33" t="str">
        <x:v>adjusted difference in VF MD yearly slope (dB/year) per 1-SD higher basal PBMC OCR among NTG eyes</x:v>
      </x:c>
      <x:c r="E258" s="59" t="n">
        <x:v>0.176</x:v>
      </x:c>
      <x:c r="F258" s="58" t="str">
        <x:v>[0.08388, 0.26812]</x:v>
      </x:c>
      <x:c r="G258" s="59" t="n">
        <x:v>0.18424</x:v>
      </x:c>
      <x:c r="H258" s="58" t="str">
        <x:v>No corresponding executed estimate</x:v>
      </x:c>
      <x:c r="I258" s="58" t="str">
        <x:v>Not reported</x:v>
      </x:c>
      <x:c r="J258" s="57" t="n">
        <x:v>1</x:v>
      </x:c>
      <x:c r="K258" s="34" t="n">
        <x:v>0</x:v>
      </x:c>
      <x:c r="L258" s="34" t="n">
        <x:f>J258*K258</x:f>
        <x:v>0</x:v>
      </x:c>
      <x:c r="M258" s="33" t="str">
        <x:v>Not answered</x:v>
      </x:c>
      <x:c r="N258" s="35" t="str">
        <x:v>No adjusted NTG/HTG-specific basal-OCR slope contrast is executed.</x:v>
      </x:c>
    </x:row>
    <x:row r="259" ht="48" customHeight="1">
      <x:c r="A259" s="32" t="str">
        <x:v>FR-0004</x:v>
      </x:c>
      <x:c r="B259" s="33" t="str">
        <x:v>BixBench-Agent</x:v>
      </x:c>
      <x:c r="C259" s="33" t="str">
        <x:v>A3</x:v>
      </x:c>
      <x:c r="D259" s="33" t="str">
        <x:v>adjusted difference in VF MD yearly slope (dB/year) per 1-SD higher basal PBMC OCR among HTG eyes</x:v>
      </x:c>
      <x:c r="E259" s="59" t="n">
        <x:v>0.197</x:v>
      </x:c>
      <x:c r="F259" s="58" t="str">
        <x:v>[0.07744, 0.31656]</x:v>
      </x:c>
      <x:c r="G259" s="59" t="n">
        <x:v>0.23912</x:v>
      </x:c>
      <x:c r="H259" s="58" t="str">
        <x:v>No corresponding executed estimate</x:v>
      </x:c>
      <x:c r="I259" s="58" t="str">
        <x:v>Not reported</x:v>
      </x:c>
      <x:c r="J259" s="57" t="n">
        <x:v>1</x:v>
      </x:c>
      <x:c r="K259" s="34" t="n">
        <x:v>0</x:v>
      </x:c>
      <x:c r="L259" s="34" t="n">
        <x:f>J259*K259</x:f>
        <x:v>0</x:v>
      </x:c>
      <x:c r="M259" s="33" t="str">
        <x:v>Not answered</x:v>
      </x:c>
      <x:c r="N259" s="35" t="str">
        <x:v>No adjusted NTG/HTG-specific basal-OCR slope contrast is executed.</x:v>
      </x:c>
    </x:row>
    <x:row r="260" ht="67.5" customHeight="1">
      <x:c r="A260" s="32" t="str">
        <x:v>FR-0004</x:v>
      </x:c>
      <x:c r="B260" s="33" t="str">
        <x:v>BixBench-Agent</x:v>
      </x:c>
      <x:c r="C260" s="33" t="str">
        <x:v>A4</x:v>
      </x:c>
      <x:c r="D260" s="33" t="str">
        <x:v>adjusted difference in VF MD yearly slope (dB/year) per 1-SD higher ATP-linked PBMC OCR in the entire treated POAG cohort</x:v>
      </x:c>
      <x:c r="E260" s="59" t="n">
        <x:v>0.199</x:v>
      </x:c>
      <x:c r="F260" s="58" t="str">
        <x:v>[0.13236, 0.26564]</x:v>
      </x:c>
      <x:c r="G260" s="59" t="n">
        <x:v>0.13328</x:v>
      </x:c>
      <x:c r="H260" s="59" t="n">
        <x:v>0.07387945</x:v>
      </x:c>
      <x:c r="I260" s="58" t="str">
        <x:v>[-0.02381732, 0.17157622]</x:v>
      </x:c>
      <x:c r="J260" s="57" t="n">
        <x:v>1</x:v>
      </x:c>
      <x:c r="K260" s="34" t="n">
        <x:v>0.6666666666666666</x:v>
      </x:c>
      <x:c r="L260" s="34" t="n">
        <x:f>J260*K260</x:f>
        <x:v>0.6666666666666666</x:v>
      </x:c>
      <x:c r="M260" s="33" t="str">
        <x:v>Comparable</x:v>
      </x:c>
      <x:c r="N260" s="35" t="str">
        <x:v>Same full-cohort adjusted per-patient-SD annual MD slope contrast. Patient GEE with baseline-MD and covariate-by-time terms produces smaller positive estimates. Basal lies outside reference tolerance; the other three lie within tolerance but outside reference CI. R direction does not imply statistical significance.</x:v>
      </x:c>
    </x:row>
    <x:row r="261" ht="67.5" customHeight="1">
      <x:c r="A261" s="32" t="str">
        <x:v>FR-0004</x:v>
      </x:c>
      <x:c r="B261" s="33" t="str">
        <x:v>BixBench-Agent</x:v>
      </x:c>
      <x:c r="C261" s="33" t="str">
        <x:v>A5</x:v>
      </x:c>
      <x:c r="D261" s="33" t="str">
        <x:v>adjusted difference in VF MD yearly slope (dB/year) per 1-SD higher maximal PBMC OCR in the entire treated POAG cohort</x:v>
      </x:c>
      <x:c r="E261" s="59" t="n">
        <x:v>0.123</x:v>
      </x:c>
      <x:c r="F261" s="58" t="str">
        <x:v>[0.05244, 0.19356]</x:v>
      </x:c>
      <x:c r="G261" s="59" t="n">
        <x:v>0.14112</x:v>
      </x:c>
      <x:c r="H261" s="59" t="n">
        <x:v>0.03877866</x:v>
      </x:c>
      <x:c r="I261" s="58" t="str">
        <x:v>[-0.09283936, 0.17039669]</x:v>
      </x:c>
      <x:c r="J261" s="57" t="n">
        <x:v>1</x:v>
      </x:c>
      <x:c r="K261" s="34" t="n">
        <x:v>0.6666666666666666</x:v>
      </x:c>
      <x:c r="L261" s="34" t="n">
        <x:f>J261*K261</x:f>
        <x:v>0.6666666666666666</x:v>
      </x:c>
      <x:c r="M261" s="33" t="str">
        <x:v>Comparable</x:v>
      </x:c>
      <x:c r="N261" s="35" t="str">
        <x:v>Same full-cohort adjusted per-patient-SD annual MD slope contrast. Patient GEE with baseline-MD and covariate-by-time terms produces smaller positive estimates. Basal lies outside reference tolerance; the other three lie within tolerance but outside reference CI. R direction does not imply statistical significance.</x:v>
      </x:c>
    </x:row>
    <x:row r="262" ht="67.5" customHeight="1">
      <x:c r="A262" s="32" t="str">
        <x:v>FR-0004</x:v>
      </x:c>
      <x:c r="B262" s="33" t="str">
        <x:v>BixBench-Agent</x:v>
      </x:c>
      <x:c r="C262" s="33" t="str">
        <x:v>A6</x:v>
      </x:c>
      <x:c r="D262" s="33" t="str">
        <x:v>adjusted difference in VF MD yearly slope (dB/year) per 1-SD higher PBMC reserve capacity in the entire treated POAG cohort</x:v>
      </x:c>
      <x:c r="E262" s="59" t="n">
        <x:v>0.108</x:v>
      </x:c>
      <x:c r="F262" s="58" t="str">
        <x:v>[0.03744, 0.17856]</x:v>
      </x:c>
      <x:c r="G262" s="59" t="n">
        <x:v>0.14112</x:v>
      </x:c>
      <x:c r="H262" s="59" t="n">
        <x:v>0.03705087</x:v>
      </x:c>
      <x:c r="I262" s="58" t="str">
        <x:v>[-0.09409659, 0.16819834]</x:v>
      </x:c>
      <x:c r="J262" s="57" t="n">
        <x:v>1</x:v>
      </x:c>
      <x:c r="K262" s="34" t="n">
        <x:v>0.6666666666666666</x:v>
      </x:c>
      <x:c r="L262" s="34" t="n">
        <x:f>J262*K262</x:f>
        <x:v>0.6666666666666666</x:v>
      </x:c>
      <x:c r="M262" s="33" t="str">
        <x:v>Comparable</x:v>
      </x:c>
      <x:c r="N262" s="35" t="str">
        <x:v>Same full-cohort adjusted per-patient-SD annual MD slope contrast. Patient GEE with baseline-MD and covariate-by-time terms produces smaller positive estimates. Basal lies outside reference tolerance; the other three lie within tolerance but outside reference CI. R direction does not imply statistical significance.</x:v>
      </x:c>
    </x:row>
    <x:row r="263" ht="48" customHeight="1">
      <x:c r="A263" s="40" t="str">
        <x:v>FR-0005</x:v>
      </x:c>
      <x:c r="B263" s="41" t="str">
        <x:v>BixBench-Agent</x:v>
      </x:c>
      <x:c r="C263" s="41" t="str">
        <x:v>A01</x:v>
      </x:c>
      <x:c r="D263" s="41" t="str">
        <x:v>Unique mother-child pairs in the infant cohort</x:v>
      </x:c>
      <x:c r="E263" s="54" t="n">
        <x:v>94</x:v>
      </x:c>
      <x:c r="F263" s="55" t="str">
        <x:v>Not specified</x:v>
      </x:c>
      <x:c r="G263" s="54" t="n">
        <x:v>0</x:v>
      </x:c>
      <x:c r="H263" s="55" t="str">
        <x:v>No corresponding executed estimate</x:v>
      </x:c>
      <x:c r="I263" s="55" t="str">
        <x:v>Not reported</x:v>
      </x:c>
      <x:c r="J263" s="54" t="n">
        <x:v>1</x:v>
      </x:c>
      <x:c r="K263" s="56" t="n">
        <x:v>0</x:v>
      </x:c>
      <x:c r="L263" s="56" t="n">
        <x:f>J263*K263</x:f>
        <x:v>0</x:v>
      </x:c>
      <x:c r="M263" s="41" t="str">
        <x:v>Not answered</x:v>
      </x:c>
      <x:c r="N263" s="41" t="str">
        <x:v>The run ends before any model response or scientific execution.</x:v>
      </x:c>
    </x:row>
    <x:row r="264" ht="48" customHeight="1">
      <x:c r="A264" s="32" t="str">
        <x:v>FR-0005</x:v>
      </x:c>
      <x:c r="B264" s="33" t="str">
        <x:v>BixBench-Agent</x:v>
      </x:c>
      <x:c r="C264" s="33" t="str">
        <x:v>A02</x:v>
      </x:c>
      <x:c r="D264" s="33" t="str">
        <x:v>Infants with new exposure after 6 months under the published serological rule</x:v>
      </x:c>
      <x:c r="E264" s="57" t="n">
        <x:v>22</x:v>
      </x:c>
      <x:c r="F264" s="58" t="str">
        <x:v>Not specified</x:v>
      </x:c>
      <x:c r="G264" s="57" t="n">
        <x:v>0</x:v>
      </x:c>
      <x:c r="H264" s="58" t="str">
        <x:v>No corresponding executed estimate</x:v>
      </x:c>
      <x:c r="I264" s="58" t="str">
        <x:v>Not reported</x:v>
      </x:c>
      <x:c r="J264" s="57" t="n">
        <x:v>1</x:v>
      </x:c>
      <x:c r="K264" s="34" t="n">
        <x:v>0</x:v>
      </x:c>
      <x:c r="L264" s="34" t="n">
        <x:f>J264*K264</x:f>
        <x:v>0</x:v>
      </x:c>
      <x:c r="M264" s="33" t="str">
        <x:v>Not answered</x:v>
      </x:c>
      <x:c r="N264" s="35" t="str">
        <x:v>The run ends before any model response or scientific execution.</x:v>
      </x:c>
    </x:row>
    <x:row r="265" ht="48" customHeight="1">
      <x:c r="A265" s="32" t="str">
        <x:v>FR-0005</x:v>
      </x:c>
      <x:c r="B265" s="33" t="str">
        <x:v>BixBench-Agent</x:v>
      </x:c>
      <x:c r="C265" s="33" t="str">
        <x:v>A03</x:v>
      </x:c>
      <x:c r="D265" s="33" t="str">
        <x:v>Proportion with new serological exposure from month 6 to months 9/10/11</x:v>
      </x:c>
      <x:c r="E265" s="59" t="n">
        <x:v>0.23</x:v>
      </x:c>
      <x:c r="F265" s="58" t="str">
        <x:v>Not specified</x:v>
      </x:c>
      <x:c r="G265" s="59" t="n">
        <x:v>0.05</x:v>
      </x:c>
      <x:c r="H265" s="58" t="str">
        <x:v>No corresponding executed estimate</x:v>
      </x:c>
      <x:c r="I265" s="58" t="str">
        <x:v>Not reported</x:v>
      </x:c>
      <x:c r="J265" s="57" t="n">
        <x:v>1</x:v>
      </x:c>
      <x:c r="K265" s="34" t="n">
        <x:v>0</x:v>
      </x:c>
      <x:c r="L265" s="34" t="n">
        <x:f>J265*K265</x:f>
        <x:v>0</x:v>
      </x:c>
      <x:c r="M265" s="33" t="str">
        <x:v>Not answered</x:v>
      </x:c>
      <x:c r="N265" s="35" t="str">
        <x:v>The run ends before any model response or scientific execution.</x:v>
      </x:c>
    </x:row>
    <x:row r="266" ht="48" customHeight="1">
      <x:c r="A266" s="32" t="str">
        <x:v>FR-0005</x:v>
      </x:c>
      <x:c r="B266" s="33" t="str">
        <x:v>BixBench-Agent</x:v>
      </x:c>
      <x:c r="C266" s="33" t="str">
        <x:v>A04</x:v>
      </x:c>
      <x:c r="D266" s="33" t="str">
        <x:v>Participants in the SpyCATS baseline life-course IgG analysis</x:v>
      </x:c>
      <x:c r="E266" s="57" t="n">
        <x:v>413</x:v>
      </x:c>
      <x:c r="F266" s="58" t="str">
        <x:v>Not specified</x:v>
      </x:c>
      <x:c r="G266" s="57" t="n">
        <x:v>0</x:v>
      </x:c>
      <x:c r="H266" s="58" t="str">
        <x:v>No corresponding executed estimate</x:v>
      </x:c>
      <x:c r="I266" s="58" t="str">
        <x:v>Not reported</x:v>
      </x:c>
      <x:c r="J266" s="57" t="n">
        <x:v>1</x:v>
      </x:c>
      <x:c r="K266" s="34" t="n">
        <x:v>0</x:v>
      </x:c>
      <x:c r="L266" s="34" t="n">
        <x:f>J266*K266</x:f>
        <x:v>0</x:v>
      </x:c>
      <x:c r="M266" s="33" t="str">
        <x:v>Not answered</x:v>
      </x:c>
      <x:c r="N266" s="35" t="str">
        <x:v>The run ends before any model response or scientific execution.</x:v>
      </x:c>
    </x:row>
    <x:row r="267" ht="48" customHeight="1">
      <x:c r="A267" s="32" t="str">
        <x:v>FR-0005</x:v>
      </x:c>
      <x:c r="B267" s="33" t="str">
        <x:v>BixBench-Agent</x:v>
      </x:c>
      <x:c r="C267" s="33" t="str">
        <x:v>A05</x:v>
      </x:c>
      <x:c r="D267" s="33" t="str">
        <x:v>Minimum pairwise Pearson correlation among five antigen-specific IgG measures at baseline</x:v>
      </x:c>
      <x:c r="E267" s="59" t="n">
        <x:v>0.65</x:v>
      </x:c>
      <x:c r="F267" s="58" t="str">
        <x:v>Not specified</x:v>
      </x:c>
      <x:c r="G267" s="59" t="n">
        <x:v>0.1</x:v>
      </x:c>
      <x:c r="H267" s="58" t="str">
        <x:v>No corresponding executed estimate</x:v>
      </x:c>
      <x:c r="I267" s="58" t="str">
        <x:v>Not reported</x:v>
      </x:c>
      <x:c r="J267" s="57" t="n">
        <x:v>1</x:v>
      </x:c>
      <x:c r="K267" s="34" t="n">
        <x:v>0</x:v>
      </x:c>
      <x:c r="L267" s="34" t="n">
        <x:f>J267*K267</x:f>
        <x:v>0</x:v>
      </x:c>
      <x:c r="M267" s="33" t="str">
        <x:v>Not answered</x:v>
      </x:c>
      <x:c r="N267" s="35" t="str">
        <x:v>The run ends before any model response or scientific execution.</x:v>
      </x:c>
    </x:row>
    <x:row r="268" ht="48" customHeight="1">
      <x:c r="A268" s="32" t="str">
        <x:v>FR-0005</x:v>
      </x:c>
      <x:c r="B268" s="33" t="str">
        <x:v>BixBench-Agent</x:v>
      </x:c>
      <x:c r="C268" s="33" t="str">
        <x:v>A06</x:v>
      </x:c>
      <x:c r="D268" s="33" t="str">
        <x:v>Maximum pairwise Pearson correlation among five antigen-specific IgG measures at baseline</x:v>
      </x:c>
      <x:c r="E268" s="59" t="n">
        <x:v>0.86</x:v>
      </x:c>
      <x:c r="F268" s="58" t="str">
        <x:v>Not specified</x:v>
      </x:c>
      <x:c r="G268" s="59" t="n">
        <x:v>0.1</x:v>
      </x:c>
      <x:c r="H268" s="58" t="str">
        <x:v>No corresponding executed estimate</x:v>
      </x:c>
      <x:c r="I268" s="58" t="str">
        <x:v>Not reported</x:v>
      </x:c>
      <x:c r="J268" s="57" t="n">
        <x:v>1</x:v>
      </x:c>
      <x:c r="K268" s="34" t="n">
        <x:v>0</x:v>
      </x:c>
      <x:c r="L268" s="34" t="n">
        <x:f>J268*K268</x:f>
        <x:v>0</x:v>
      </x:c>
      <x:c r="M268" s="33" t="str">
        <x:v>Not answered</x:v>
      </x:c>
      <x:c r="N268" s="35" t="str">
        <x:v>The run ends before any model response or scientific execution.</x:v>
      </x:c>
    </x:row>
    <x:row r="269" ht="48" customHeight="1">
      <x:c r="A269" s="32" t="str">
        <x:v>FR-0005</x:v>
      </x:c>
      <x:c r="B269" s="33" t="str">
        <x:v>BixBench-Agent</x:v>
      </x:c>
      <x:c r="C269" s="33" t="str">
        <x:v>A07</x:v>
      </x:c>
      <x:c r="D269" s="33" t="str">
        <x:v>Culture-confirmed events with paired pre-event and post-event IgG</x:v>
      </x:c>
      <x:c r="E269" s="57" t="n">
        <x:v>150</x:v>
      </x:c>
      <x:c r="F269" s="58" t="str">
        <x:v>Not specified</x:v>
      </x:c>
      <x:c r="G269" s="57" t="n">
        <x:v>0</x:v>
      </x:c>
      <x:c r="H269" s="58" t="str">
        <x:v>No corresponding executed estimate</x:v>
      </x:c>
      <x:c r="I269" s="58" t="str">
        <x:v>Not reported</x:v>
      </x:c>
      <x:c r="J269" s="57" t="n">
        <x:v>1</x:v>
      </x:c>
      <x:c r="K269" s="34" t="n">
        <x:v>0</x:v>
      </x:c>
      <x:c r="L269" s="34" t="n">
        <x:f>J269*K269</x:f>
        <x:v>0</x:v>
      </x:c>
      <x:c r="M269" s="33" t="str">
        <x:v>Not answered</x:v>
      </x:c>
      <x:c r="N269" s="35" t="str">
        <x:v>The run ends before any model response or scientific execution.</x:v>
      </x:c>
    </x:row>
    <x:row r="270" ht="48" customHeight="1">
      <x:c r="A270" s="32" t="str">
        <x:v>FR-0005</x:v>
      </x:c>
      <x:c r="B270" s="33" t="str">
        <x:v>BixBench-Agent</x:v>
      </x:c>
      <x:c r="C270" s="33" t="str">
        <x:v>A08</x:v>
      </x:c>
      <x:c r="D270" s="33" t="str">
        <x:v>Minimum mean post-event log10 IgG increase across five antigens (log10 RLU/mL)</x:v>
      </x:c>
      <x:c r="E270" s="59" t="n">
        <x:v>0.1</x:v>
      </x:c>
      <x:c r="F270" s="58" t="str">
        <x:v>Not specified</x:v>
      </x:c>
      <x:c r="G270" s="59" t="n">
        <x:v>0.05</x:v>
      </x:c>
      <x:c r="H270" s="58" t="str">
        <x:v>No corresponding executed estimate</x:v>
      </x:c>
      <x:c r="I270" s="58" t="str">
        <x:v>Not reported</x:v>
      </x:c>
      <x:c r="J270" s="57" t="n">
        <x:v>1</x:v>
      </x:c>
      <x:c r="K270" s="34" t="n">
        <x:v>0</x:v>
      </x:c>
      <x:c r="L270" s="34" t="n">
        <x:f>J270*K270</x:f>
        <x:v>0</x:v>
      </x:c>
      <x:c r="M270" s="33" t="str">
        <x:v>Not answered</x:v>
      </x:c>
      <x:c r="N270" s="35" t="str">
        <x:v>The run ends before any model response or scientific execution.</x:v>
      </x:c>
    </x:row>
    <x:row r="271" ht="48" customHeight="1">
      <x:c r="A271" s="32" t="str">
        <x:v>FR-0005</x:v>
      </x:c>
      <x:c r="B271" s="33" t="str">
        <x:v>BixBench-Agent</x:v>
      </x:c>
      <x:c r="C271" s="33" t="str">
        <x:v>A09</x:v>
      </x:c>
      <x:c r="D271" s="33" t="str">
        <x:v>Maximum mean post-event log10 IgG increase across five antigens (log10 RLU/mL)</x:v>
      </x:c>
      <x:c r="E271" s="59" t="n">
        <x:v>0.19</x:v>
      </x:c>
      <x:c r="F271" s="58" t="str">
        <x:v>Not specified</x:v>
      </x:c>
      <x:c r="G271" s="59" t="n">
        <x:v>0.05</x:v>
      </x:c>
      <x:c r="H271" s="58" t="str">
        <x:v>No corresponding executed estimate</x:v>
      </x:c>
      <x:c r="I271" s="58" t="str">
        <x:v>Not reported</x:v>
      </x:c>
      <x:c r="J271" s="57" t="n">
        <x:v>1</x:v>
      </x:c>
      <x:c r="K271" s="34" t="n">
        <x:v>0</x:v>
      </x:c>
      <x:c r="L271" s="34" t="n">
        <x:f>J271*K271</x:f>
        <x:v>0</x:v>
      </x:c>
      <x:c r="M271" s="33" t="str">
        <x:v>Not answered</x:v>
      </x:c>
      <x:c r="N271" s="35" t="str">
        <x:v>The run ends before any model response or scientific execution.</x:v>
      </x:c>
    </x:row>
    <x:row r="272" ht="48" customHeight="1">
      <x:c r="A272" s="32" t="str">
        <x:v>FR-0005</x:v>
      </x:c>
      <x:c r="B272" s="33" t="str">
        <x:v>BixBench-Agent</x:v>
      </x:c>
      <x:c r="C272" s="33" t="str">
        <x:v>A10</x:v>
      </x:c>
      <x:c r="D272" s="33" t="str">
        <x:v>Minimum difference in post-event log10 IgG increase, age &lt;2 years minus adults, across five antigens</x:v>
      </x:c>
      <x:c r="E272" s="59" t="n">
        <x:v>0.25</x:v>
      </x:c>
      <x:c r="F272" s="58" t="str">
        <x:v>Not specified</x:v>
      </x:c>
      <x:c r="G272" s="59" t="n">
        <x:v>0.1</x:v>
      </x:c>
      <x:c r="H272" s="58" t="str">
        <x:v>No corresponding executed estimate</x:v>
      </x:c>
      <x:c r="I272" s="58" t="str">
        <x:v>Not reported</x:v>
      </x:c>
      <x:c r="J272" s="57" t="n">
        <x:v>1</x:v>
      </x:c>
      <x:c r="K272" s="34" t="n">
        <x:v>0</x:v>
      </x:c>
      <x:c r="L272" s="34" t="n">
        <x:f>J272*K272</x:f>
        <x:v>0</x:v>
      </x:c>
      <x:c r="M272" s="33" t="str">
        <x:v>Not answered</x:v>
      </x:c>
      <x:c r="N272" s="35" t="str">
        <x:v>The run ends before any model response or scientific execution.</x:v>
      </x:c>
    </x:row>
    <x:row r="273" ht="48" customHeight="1">
      <x:c r="A273" s="32" t="str">
        <x:v>FR-0005</x:v>
      </x:c>
      <x:c r="B273" s="33" t="str">
        <x:v>BixBench-Agent</x:v>
      </x:c>
      <x:c r="C273" s="33" t="str">
        <x:v>A11</x:v>
      </x:c>
      <x:c r="D273" s="33" t="str">
        <x:v>Maximum difference in post-event log10 IgG increase, age &lt;2 years minus adults, across five antigens</x:v>
      </x:c>
      <x:c r="E273" s="59" t="n">
        <x:v>0.54</x:v>
      </x:c>
      <x:c r="F273" s="58" t="str">
        <x:v>Not specified</x:v>
      </x:c>
      <x:c r="G273" s="59" t="n">
        <x:v>0.1</x:v>
      </x:c>
      <x:c r="H273" s="58" t="str">
        <x:v>No corresponding executed estimate</x:v>
      </x:c>
      <x:c r="I273" s="58" t="str">
        <x:v>Not reported</x:v>
      </x:c>
      <x:c r="J273" s="57" t="n">
        <x:v>1</x:v>
      </x:c>
      <x:c r="K273" s="34" t="n">
        <x:v>0</x:v>
      </x:c>
      <x:c r="L273" s="34" t="n">
        <x:f>J273*K273</x:f>
        <x:v>0</x:v>
      </x:c>
      <x:c r="M273" s="33" t="str">
        <x:v>Not answered</x:v>
      </x:c>
      <x:c r="N273" s="35" t="str">
        <x:v>The run ends before any model response or scientific execution.</x:v>
      </x:c>
    </x:row>
    <x:row r="274" ht="48" customHeight="1">
      <x:c r="A274" s="32" t="str">
        <x:v>FR-0005</x:v>
      </x:c>
      <x:c r="B274" s="33" t="str">
        <x:v>BixBench-Agent</x:v>
      </x:c>
      <x:c r="C274" s="33" t="str">
        <x:v>A12</x:v>
      </x:c>
      <x:c r="D274" s="33" t="str">
        <x:v>Unique participant-IgG measurement timepoints in the protection analysis</x:v>
      </x:c>
      <x:c r="E274" s="57" t="n">
        <x:v>1987</x:v>
      </x:c>
      <x:c r="F274" s="58" t="str">
        <x:v>Not specified</x:v>
      </x:c>
      <x:c r="G274" s="57" t="n">
        <x:v>0</x:v>
      </x:c>
      <x:c r="H274" s="58" t="str">
        <x:v>No corresponding executed estimate</x:v>
      </x:c>
      <x:c r="I274" s="58" t="str">
        <x:v>Not reported</x:v>
      </x:c>
      <x:c r="J274" s="57" t="n">
        <x:v>1</x:v>
      </x:c>
      <x:c r="K274" s="34" t="n">
        <x:v>0</x:v>
      </x:c>
      <x:c r="L274" s="34" t="n">
        <x:f>J274*K274</x:f>
        <x:v>0</x:v>
      </x:c>
      <x:c r="M274" s="33" t="str">
        <x:v>Not answered</x:v>
      </x:c>
      <x:c r="N274" s="35" t="str">
        <x:v>The run ends before any model response or scientific execution.</x:v>
      </x:c>
    </x:row>
    <x:row r="275" ht="48" customHeight="1">
      <x:c r="A275" s="32" t="str">
        <x:v>FR-0005</x:v>
      </x:c>
      <x:c r="B275" s="33" t="str">
        <x:v>BixBench-Agent</x:v>
      </x:c>
      <x:c r="C275" s="33" t="str">
        <x:v>A13</x:v>
      </x:c>
      <x:c r="D275" s="33" t="str">
        <x:v>Participants with at least one IgG measurement in the protection analysis</x:v>
      </x:c>
      <x:c r="E275" s="57" t="n">
        <x:v>431</x:v>
      </x:c>
      <x:c r="F275" s="58" t="str">
        <x:v>Not specified</x:v>
      </x:c>
      <x:c r="G275" s="57" t="n">
        <x:v>0</x:v>
      </x:c>
      <x:c r="H275" s="58" t="str">
        <x:v>No corresponding executed estimate</x:v>
      </x:c>
      <x:c r="I275" s="58" t="str">
        <x:v>Not reported</x:v>
      </x:c>
      <x:c r="J275" s="57" t="n">
        <x:v>1</x:v>
      </x:c>
      <x:c r="K275" s="34" t="n">
        <x:v>0</x:v>
      </x:c>
      <x:c r="L275" s="34" t="n">
        <x:f>J275*K275</x:f>
        <x:v>0</x:v>
      </x:c>
      <x:c r="M275" s="33" t="str">
        <x:v>Not answered</x:v>
      </x:c>
      <x:c r="N275" s="35" t="str">
        <x:v>The run ends before any model response or scientific execution.</x:v>
      </x:c>
    </x:row>
    <x:row r="276" ht="48" customHeight="1">
      <x:c r="A276" s="32" t="str">
        <x:v>FR-0005</x:v>
      </x:c>
      <x:c r="B276" s="33" t="str">
        <x:v>BixBench-Agent</x:v>
      </x:c>
      <x:c r="C276" s="33" t="str">
        <x:v>A15</x:v>
      </x:c>
      <x:c r="D276" s="33" t="str">
        <x:v>Follow-up records in the 45-day event-probability analysis</x:v>
      </x:c>
      <x:c r="E276" s="57" t="n">
        <x:v>4677</x:v>
      </x:c>
      <x:c r="F276" s="58" t="str">
        <x:v>Not specified</x:v>
      </x:c>
      <x:c r="G276" s="57" t="n">
        <x:v>0</x:v>
      </x:c>
      <x:c r="H276" s="58" t="str">
        <x:v>No corresponding executed estimate</x:v>
      </x:c>
      <x:c r="I276" s="58" t="str">
        <x:v>Not reported</x:v>
      </x:c>
      <x:c r="J276" s="57" t="n">
        <x:v>1</x:v>
      </x:c>
      <x:c r="K276" s="34" t="n">
        <x:v>0</x:v>
      </x:c>
      <x:c r="L276" s="34" t="n">
        <x:f>J276*K276</x:f>
        <x:v>0</x:v>
      </x:c>
      <x:c r="M276" s="33" t="str">
        <x:v>Not answered</x:v>
      </x:c>
      <x:c r="N276" s="35" t="str">
        <x:v>The run ends before any model response or scientific execution.</x:v>
      </x:c>
    </x:row>
    <x:row r="277" ht="54" customHeight="1">
      <x:c r="A277" s="32" t="str">
        <x:v>FR-0005</x:v>
      </x:c>
      <x:c r="B277" s="33" t="str">
        <x:v>BixBench-Agent</x:v>
      </x:c>
      <x:c r="C277" s="33" t="str">
        <x:v>A16</x:v>
      </x:c>
      <x:c r="D277" s="33" t="str">
        <x:v>SpyCEP: OR for any culture-confirmed event within 45 days per 1 log10 RLU/mL higher IgG in the unsegmented model</x:v>
      </x:c>
      <x:c r="E277" s="59" t="n">
        <x:v>0.68</x:v>
      </x:c>
      <x:c r="F277" s="58" t="str">
        <x:v>[0.5, 0.92]</x:v>
      </x:c>
      <x:c r="G277" s="59" t="n">
        <x:v>0.42</x:v>
      </x:c>
      <x:c r="H277" s="58" t="str">
        <x:v>No corresponding executed estimate</x:v>
      </x:c>
      <x:c r="I277" s="58" t="str">
        <x:v>Not reported</x:v>
      </x:c>
      <x:c r="J277" s="57" t="n">
        <x:v>1</x:v>
      </x:c>
      <x:c r="K277" s="34" t="n">
        <x:v>0</x:v>
      </x:c>
      <x:c r="L277" s="34" t="n">
        <x:f>J277*K277</x:f>
        <x:v>0</x:v>
      </x:c>
      <x:c r="M277" s="33" t="str">
        <x:v>Not answered</x:v>
      </x:c>
      <x:c r="N277" s="35" t="str">
        <x:v>The run ends before any model response or scientific execution.</x:v>
      </x:c>
    </x:row>
    <x:row r="278" ht="48" customHeight="1">
      <x:c r="A278" s="32" t="str">
        <x:v>FR-0005</x:v>
      </x:c>
      <x:c r="B278" s="33" t="str">
        <x:v>BixBench-Agent</x:v>
      </x:c>
      <x:c r="C278" s="33" t="str">
        <x:v>A17</x:v>
      </x:c>
      <x:c r="D278" s="33" t="str">
        <x:v>SLO: OR for any culture-confirmed event within 45 days per 1 log10 RLU/mL above the breakpoint</x:v>
      </x:c>
      <x:c r="E278" s="59" t="n">
        <x:v>0.06</x:v>
      </x:c>
      <x:c r="F278" s="58" t="str">
        <x:v>[0.01, 0.49]</x:v>
      </x:c>
      <x:c r="G278" s="59" t="n">
        <x:v>0.48</x:v>
      </x:c>
      <x:c r="H278" s="58" t="str">
        <x:v>No corresponding executed estimate</x:v>
      </x:c>
      <x:c r="I278" s="58" t="str">
        <x:v>Not reported</x:v>
      </x:c>
      <x:c r="J278" s="57" t="n">
        <x:v>2</x:v>
      </x:c>
      <x:c r="K278" s="34" t="n">
        <x:v>0</x:v>
      </x:c>
      <x:c r="L278" s="34" t="n">
        <x:f>J278*K278</x:f>
        <x:v>0</x:v>
      </x:c>
      <x:c r="M278" s="33" t="str">
        <x:v>Not answered</x:v>
      </x:c>
      <x:c r="N278" s="35" t="str">
        <x:v>The run ends before any model response or scientific execution.</x:v>
      </x:c>
    </x:row>
    <x:row r="279" ht="48" customHeight="1">
      <x:c r="A279" s="32" t="str">
        <x:v>FR-0005</x:v>
      </x:c>
      <x:c r="B279" s="33" t="str">
        <x:v>BixBench-Agent</x:v>
      </x:c>
      <x:c r="C279" s="33" t="str">
        <x:v>A18</x:v>
      </x:c>
      <x:c r="D279" s="33" t="str">
        <x:v>SpyAD: OR for any culture-confirmed event within 45 days per 1 log10 RLU/mL above the breakpoint</x:v>
      </x:c>
      <x:c r="E279" s="59" t="n">
        <x:v>0.34</x:v>
      </x:c>
      <x:c r="F279" s="58" t="str">
        <x:v>[0.15, 0.77]</x:v>
      </x:c>
      <x:c r="G279" s="59" t="n">
        <x:v>0.62</x:v>
      </x:c>
      <x:c r="H279" s="58" t="str">
        <x:v>No corresponding executed estimate</x:v>
      </x:c>
      <x:c r="I279" s="58" t="str">
        <x:v>Not reported</x:v>
      </x:c>
      <x:c r="J279" s="57" t="n">
        <x:v>2</x:v>
      </x:c>
      <x:c r="K279" s="34" t="n">
        <x:v>0</x:v>
      </x:c>
      <x:c r="L279" s="34" t="n">
        <x:f>J279*K279</x:f>
        <x:v>0</x:v>
      </x:c>
      <x:c r="M279" s="33" t="str">
        <x:v>Not answered</x:v>
      </x:c>
      <x:c r="N279" s="35" t="str">
        <x:v>The run ends before any model response or scientific execution.</x:v>
      </x:c>
    </x:row>
    <x:row r="280" ht="48" customHeight="1">
      <x:c r="A280" s="32" t="str">
        <x:v>FR-0005</x:v>
      </x:c>
      <x:c r="B280" s="33" t="str">
        <x:v>BixBench-Agent</x:v>
      </x:c>
      <x:c r="C280" s="33" t="str">
        <x:v>A19</x:v>
      </x:c>
      <x:c r="D280" s="33" t="str">
        <x:v>SpyCEP: OR for any culture-confirmed event within 45 days per 1 log10 RLU/mL above the breakpoint</x:v>
      </x:c>
      <x:c r="E280" s="59" t="n">
        <x:v>0.25</x:v>
      </x:c>
      <x:c r="F280" s="58" t="str">
        <x:v>[0.09, 0.68]</x:v>
      </x:c>
      <x:c r="G280" s="59" t="n">
        <x:v>0.59</x:v>
      </x:c>
      <x:c r="H280" s="58" t="str">
        <x:v>No corresponding executed estimate</x:v>
      </x:c>
      <x:c r="I280" s="58" t="str">
        <x:v>Not reported</x:v>
      </x:c>
      <x:c r="J280" s="57" t="n">
        <x:v>2</x:v>
      </x:c>
      <x:c r="K280" s="34" t="n">
        <x:v>0</x:v>
      </x:c>
      <x:c r="L280" s="34" t="n">
        <x:f>J280*K280</x:f>
        <x:v>0</x:v>
      </x:c>
      <x:c r="M280" s="33" t="str">
        <x:v>Not answered</x:v>
      </x:c>
      <x:c r="N280" s="35" t="str">
        <x:v>The run ends before any model response or scientific execution.</x:v>
      </x:c>
    </x:row>
    <x:row r="281" ht="48" customHeight="1">
      <x:c r="A281" s="32" t="str">
        <x:v>FR-0005</x:v>
      </x:c>
      <x:c r="B281" s="33" t="str">
        <x:v>BixBench-Agent</x:v>
      </x:c>
      <x:c r="C281" s="33" t="str">
        <x:v>A20</x:v>
      </x:c>
      <x:c r="D281" s="33" t="str">
        <x:v>SLO: putative 50% protective IgG threshold (RLU/mL)</x:v>
      </x:c>
      <x:c r="E281" s="57" t="n">
        <x:v>39209</x:v>
      </x:c>
      <x:c r="F281" s="58" t="str">
        <x:v>[34037, 45904]</x:v>
      </x:c>
      <x:c r="G281" s="57" t="n">
        <x:v>11867</x:v>
      </x:c>
      <x:c r="H281" s="58" t="str">
        <x:v>No corresponding executed estimate</x:v>
      </x:c>
      <x:c r="I281" s="58" t="str">
        <x:v>Not reported</x:v>
      </x:c>
      <x:c r="J281" s="57" t="n">
        <x:v>1</x:v>
      </x:c>
      <x:c r="K281" s="34" t="n">
        <x:v>0</x:v>
      </x:c>
      <x:c r="L281" s="34" t="n">
        <x:f>J281*K281</x:f>
        <x:v>0</x:v>
      </x:c>
      <x:c r="M281" s="33" t="str">
        <x:v>Not answered</x:v>
      </x:c>
      <x:c r="N281" s="35" t="str">
        <x:v>The run ends before any model response or scientific execution.</x:v>
      </x:c>
    </x:row>
    <x:row r="282" ht="48" customHeight="1">
      <x:c r="A282" s="32" t="str">
        <x:v>FR-0005</x:v>
      </x:c>
      <x:c r="B282" s="33" t="str">
        <x:v>BixBench-Agent</x:v>
      </x:c>
      <x:c r="C282" s="33" t="str">
        <x:v>A21</x:v>
      </x:c>
      <x:c r="D282" s="33" t="str">
        <x:v>SpyAD: putative 50% protective IgG threshold (RLU/mL)</x:v>
      </x:c>
      <x:c r="E282" s="57" t="n">
        <x:v>65454</x:v>
      </x:c>
      <x:c r="F282" s="58" t="str">
        <x:v>[54748, 89448]</x:v>
      </x:c>
      <x:c r="G282" s="57" t="n">
        <x:v>34700</x:v>
      </x:c>
      <x:c r="H282" s="58" t="str">
        <x:v>No corresponding executed estimate</x:v>
      </x:c>
      <x:c r="I282" s="58" t="str">
        <x:v>Not reported</x:v>
      </x:c>
      <x:c r="J282" s="57" t="n">
        <x:v>1</x:v>
      </x:c>
      <x:c r="K282" s="34" t="n">
        <x:v>0</x:v>
      </x:c>
      <x:c r="L282" s="34" t="n">
        <x:f>J282*K282</x:f>
        <x:v>0</x:v>
      </x:c>
      <x:c r="M282" s="33" t="str">
        <x:v>Not answered</x:v>
      </x:c>
      <x:c r="N282" s="35" t="str">
        <x:v>The run ends before any model response or scientific execution.</x:v>
      </x:c>
    </x:row>
    <x:row r="283" ht="48" customHeight="1">
      <x:c r="A283" s="32" t="str">
        <x:v>FR-0005</x:v>
      </x:c>
      <x:c r="B283" s="33" t="str">
        <x:v>BixBench-Agent</x:v>
      </x:c>
      <x:c r="C283" s="33" t="str">
        <x:v>A22</x:v>
      </x:c>
      <x:c r="D283" s="33" t="str">
        <x:v>SpyCEP: putative 50% protective IgG threshold (RLU/mL)</x:v>
      </x:c>
      <x:c r="E283" s="57" t="n">
        <x:v>70643</x:v>
      </x:c>
      <x:c r="F283" s="58" t="str">
        <x:v>[61509, 82577]</x:v>
      </x:c>
      <x:c r="G283" s="57" t="n">
        <x:v>21068</x:v>
      </x:c>
      <x:c r="H283" s="58" t="str">
        <x:v>No corresponding executed estimate</x:v>
      </x:c>
      <x:c r="I283" s="58" t="str">
        <x:v>Not reported</x:v>
      </x:c>
      <x:c r="J283" s="57" t="n">
        <x:v>1</x:v>
      </x:c>
      <x:c r="K283" s="34" t="n">
        <x:v>0</x:v>
      </x:c>
      <x:c r="L283" s="34" t="n">
        <x:f>J283*K283</x:f>
        <x:v>0</x:v>
      </x:c>
      <x:c r="M283" s="33" t="str">
        <x:v>Not answered</x:v>
      </x:c>
      <x:c r="N283" s="35" t="str">
        <x:v>The run ends before any model response or scientific execution.</x:v>
      </x:c>
    </x:row>
    <x:row r="284" ht="48" customHeight="1">
      <x:c r="A284" s="32" t="str">
        <x:v>FR-0005</x:v>
      </x:c>
      <x:c r="B284" s="33" t="str">
        <x:v>BixBench-Agent</x:v>
      </x:c>
      <x:c r="C284" s="33" t="str">
        <x:v>A23</x:v>
      </x:c>
      <x:c r="D284" s="33" t="str">
        <x:v>Participants with baseline IgG above the SLO 50% protective threshold</x:v>
      </x:c>
      <x:c r="E284" s="57" t="n">
        <x:v>44</x:v>
      </x:c>
      <x:c r="F284" s="58" t="str">
        <x:v>Not specified</x:v>
      </x:c>
      <x:c r="G284" s="57" t="n">
        <x:v>0</x:v>
      </x:c>
      <x:c r="H284" s="58" t="str">
        <x:v>No corresponding executed estimate</x:v>
      </x:c>
      <x:c r="I284" s="58" t="str">
        <x:v>Not reported</x:v>
      </x:c>
      <x:c r="J284" s="57" t="n">
        <x:v>1</x:v>
      </x:c>
      <x:c r="K284" s="34" t="n">
        <x:v>0</x:v>
      </x:c>
      <x:c r="L284" s="34" t="n">
        <x:f>J284*K284</x:f>
        <x:v>0</x:v>
      </x:c>
      <x:c r="M284" s="33" t="str">
        <x:v>Not answered</x:v>
      </x:c>
      <x:c r="N284" s="35" t="str">
        <x:v>The run ends before any model response or scientific execution.</x:v>
      </x:c>
    </x:row>
    <x:row r="285" ht="48" customHeight="1">
      <x:c r="A285" s="32" t="str">
        <x:v>FR-0005</x:v>
      </x:c>
      <x:c r="B285" s="33" t="str">
        <x:v>BixBench-Agent</x:v>
      </x:c>
      <x:c r="C285" s="33" t="str">
        <x:v>A24</x:v>
      </x:c>
      <x:c r="D285" s="33" t="str">
        <x:v>Participants with baseline IgG above the SpyAD 50% protective threshold</x:v>
      </x:c>
      <x:c r="E285" s="57" t="n">
        <x:v>43</x:v>
      </x:c>
      <x:c r="F285" s="58" t="str">
        <x:v>Not specified</x:v>
      </x:c>
      <x:c r="G285" s="57" t="n">
        <x:v>0</x:v>
      </x:c>
      <x:c r="H285" s="58" t="str">
        <x:v>No corresponding executed estimate</x:v>
      </x:c>
      <x:c r="I285" s="58" t="str">
        <x:v>Not reported</x:v>
      </x:c>
      <x:c r="J285" s="57" t="n">
        <x:v>1</x:v>
      </x:c>
      <x:c r="K285" s="34" t="n">
        <x:v>0</x:v>
      </x:c>
      <x:c r="L285" s="34" t="n">
        <x:f>J285*K285</x:f>
        <x:v>0</x:v>
      </x:c>
      <x:c r="M285" s="33" t="str">
        <x:v>Not answered</x:v>
      </x:c>
      <x:c r="N285" s="35" t="str">
        <x:v>The run ends before any model response or scientific execution.</x:v>
      </x:c>
    </x:row>
    <x:row r="286" ht="48" customHeight="1">
      <x:c r="A286" s="32" t="str">
        <x:v>FR-0005</x:v>
      </x:c>
      <x:c r="B286" s="33" t="str">
        <x:v>BixBench-Agent</x:v>
      </x:c>
      <x:c r="C286" s="33" t="str">
        <x:v>A25</x:v>
      </x:c>
      <x:c r="D286" s="33" t="str">
        <x:v>Participants with baseline IgG above the SpyCEP 50% protective threshold</x:v>
      </x:c>
      <x:c r="E286" s="57" t="n">
        <x:v>66</x:v>
      </x:c>
      <x:c r="F286" s="58" t="str">
        <x:v>Not specified</x:v>
      </x:c>
      <x:c r="G286" s="57" t="n">
        <x:v>0</x:v>
      </x:c>
      <x:c r="H286" s="58" t="str">
        <x:v>No corresponding executed estimate</x:v>
      </x:c>
      <x:c r="I286" s="58" t="str">
        <x:v>Not reported</x:v>
      </x:c>
      <x:c r="J286" s="57" t="n">
        <x:v>1</x:v>
      </x:c>
      <x:c r="K286" s="34" t="n">
        <x:v>0</x:v>
      </x:c>
      <x:c r="L286" s="34" t="n">
        <x:f>J286*K286</x:f>
        <x:v>0</x:v>
      </x:c>
      <x:c r="M286" s="33" t="str">
        <x:v>Not answered</x:v>
      </x:c>
      <x:c r="N286" s="35" t="str">
        <x:v>The run ends before any model response or scientific execution.</x:v>
      </x:c>
    </x:row>
    <x:row r="287" ht="48" customHeight="1">
      <x:c r="A287" s="32" t="str">
        <x:v>FR-0005</x:v>
      </x:c>
      <x:c r="B287" s="33" t="str">
        <x:v>BixBench-Agent</x:v>
      </x:c>
      <x:c r="C287" s="33" t="str">
        <x:v>A26</x:v>
      </x:c>
      <x:c r="D287" s="33" t="str">
        <x:v>OR for a 45-day event with high responses to at least two versus one antigen at the 33% threshold</x:v>
      </x:c>
      <x:c r="E287" s="59" t="n">
        <x:v>0.47</x:v>
      </x:c>
      <x:c r="F287" s="58" t="str">
        <x:v>[0.25, 0.86]</x:v>
      </x:c>
      <x:c r="G287" s="59" t="n">
        <x:v>0.61</x:v>
      </x:c>
      <x:c r="H287" s="58" t="str">
        <x:v>No corresponding executed estimate</x:v>
      </x:c>
      <x:c r="I287" s="58" t="str">
        <x:v>Not reported</x:v>
      </x:c>
      <x:c r="J287" s="57" t="n">
        <x:v>1</x:v>
      </x:c>
      <x:c r="K287" s="34" t="n">
        <x:v>0</x:v>
      </x:c>
      <x:c r="L287" s="34" t="n">
        <x:f>J287*K287</x:f>
        <x:v>0</x:v>
      </x:c>
      <x:c r="M287" s="33" t="str">
        <x:v>Not answered</x:v>
      </x:c>
      <x:c r="N287" s="35" t="str">
        <x:v>The run ends before any model response or scientific execution.</x:v>
      </x:c>
    </x:row>
    <x:row r="288" ht="48" customHeight="1">
      <x:c r="A288" s="32" t="str">
        <x:v>FR-0005</x:v>
      </x:c>
      <x:c r="B288" s="33" t="str">
        <x:v>BixBench-Agent</x:v>
      </x:c>
      <x:c r="C288" s="33" t="str">
        <x:v>A27</x:v>
      </x:c>
      <x:c r="D288" s="33" t="str">
        <x:v>Any culture-confirmed events in the fully adjusted Andersen-Gill model</x:v>
      </x:c>
      <x:c r="E288" s="57" t="n">
        <x:v>165</x:v>
      </x:c>
      <x:c r="F288" s="58" t="str">
        <x:v>Not specified</x:v>
      </x:c>
      <x:c r="G288" s="57" t="n">
        <x:v>0</x:v>
      </x:c>
      <x:c r="H288" s="58" t="str">
        <x:v>No corresponding executed estimate</x:v>
      </x:c>
      <x:c r="I288" s="58" t="str">
        <x:v>Not reported</x:v>
      </x:c>
      <x:c r="J288" s="57" t="n">
        <x:v>1</x:v>
      </x:c>
      <x:c r="K288" s="34" t="n">
        <x:v>0</x:v>
      </x:c>
      <x:c r="L288" s="34" t="n">
        <x:f>J288*K288</x:f>
        <x:v>0</x:v>
      </x:c>
      <x:c r="M288" s="33" t="str">
        <x:v>Not answered</x:v>
      </x:c>
      <x:c r="N288" s="35" t="str">
        <x:v>The run ends before any model response or scientific execution.</x:v>
      </x:c>
    </x:row>
    <x:row r="289" ht="67.5" customHeight="1">
      <x:c r="A289" s="32" t="str">
        <x:v>FR-0005</x:v>
      </x:c>
      <x:c r="B289" s="33" t="str">
        <x:v>BixBench-Agent</x:v>
      </x:c>
      <x:c r="C289" s="33" t="str">
        <x:v>A28</x:v>
      </x:c>
      <x:c r="D289" s="33" t="str">
        <x:v>SLO: HR for any culture-confirmed event per 1 log10 IgG above the breakpoint, adjusted for age group, sex and household size with repeated/household clustering</x:v>
      </x:c>
      <x:c r="E289" s="59" t="n">
        <x:v>0.04</x:v>
      </x:c>
      <x:c r="F289" s="58" t="str">
        <x:v>[0.01, 0.23]</x:v>
      </x:c>
      <x:c r="G289" s="59" t="n">
        <x:v>0.22</x:v>
      </x:c>
      <x:c r="H289" s="58" t="str">
        <x:v>No corresponding executed estimate</x:v>
      </x:c>
      <x:c r="I289" s="58" t="str">
        <x:v>Not reported</x:v>
      </x:c>
      <x:c r="J289" s="57" t="n">
        <x:v>2</x:v>
      </x:c>
      <x:c r="K289" s="34" t="n">
        <x:v>0</x:v>
      </x:c>
      <x:c r="L289" s="34" t="n">
        <x:f>J289*K289</x:f>
        <x:v>0</x:v>
      </x:c>
      <x:c r="M289" s="33" t="str">
        <x:v>Not answered</x:v>
      </x:c>
      <x:c r="N289" s="35" t="str">
        <x:v>The run ends before any model response or scientific execution.</x:v>
      </x:c>
    </x:row>
    <x:row r="290" ht="54" customHeight="1">
      <x:c r="A290" s="32" t="str">
        <x:v>FR-0005</x:v>
      </x:c>
      <x:c r="B290" s="33" t="str">
        <x:v>BixBench-Agent</x:v>
      </x:c>
      <x:c r="C290" s="33" t="str">
        <x:v>A29</x:v>
      </x:c>
      <x:c r="D290" s="33" t="str">
        <x:v>SpyAD: HR for any culture-confirmed event per 1 log10 IgG above the breakpoint under the fully adjusted model</x:v>
      </x:c>
      <x:c r="E290" s="59" t="n">
        <x:v>0.29</x:v>
      </x:c>
      <x:c r="F290" s="58" t="str">
        <x:v>[0.16, 0.53]</x:v>
      </x:c>
      <x:c r="G290" s="59" t="n">
        <x:v>0.37</x:v>
      </x:c>
      <x:c r="H290" s="58" t="str">
        <x:v>No corresponding executed estimate</x:v>
      </x:c>
      <x:c r="I290" s="58" t="str">
        <x:v>Not reported</x:v>
      </x:c>
      <x:c r="J290" s="57" t="n">
        <x:v>2</x:v>
      </x:c>
      <x:c r="K290" s="34" t="n">
        <x:v>0</x:v>
      </x:c>
      <x:c r="L290" s="34" t="n">
        <x:f>J290*K290</x:f>
        <x:v>0</x:v>
      </x:c>
      <x:c r="M290" s="33" t="str">
        <x:v>Not answered</x:v>
      </x:c>
      <x:c r="N290" s="35" t="str">
        <x:v>The run ends before any model response or scientific execution.</x:v>
      </x:c>
    </x:row>
    <x:row r="291" ht="54" customHeight="1">
      <x:c r="A291" s="32" t="str">
        <x:v>FR-0005</x:v>
      </x:c>
      <x:c r="B291" s="33" t="str">
        <x:v>BixBench-Agent</x:v>
      </x:c>
      <x:c r="C291" s="33" t="str">
        <x:v>A30</x:v>
      </x:c>
      <x:c r="D291" s="33" t="str">
        <x:v>SpyCEP: HR for any culture-confirmed event per 1 log10 IgG above the breakpoint under the fully adjusted model</x:v>
      </x:c>
      <x:c r="E291" s="59" t="n">
        <x:v>0.38</x:v>
      </x:c>
      <x:c r="F291" s="58" t="str">
        <x:v>[0.16, 0.9]</x:v>
      </x:c>
      <x:c r="G291" s="59" t="n">
        <x:v>0.74</x:v>
      </x:c>
      <x:c r="H291" s="58" t="str">
        <x:v>No corresponding executed estimate</x:v>
      </x:c>
      <x:c r="I291" s="58" t="str">
        <x:v>Not reported</x:v>
      </x:c>
      <x:c r="J291" s="57" t="n">
        <x:v>2</x:v>
      </x:c>
      <x:c r="K291" s="34" t="n">
        <x:v>0</x:v>
      </x:c>
      <x:c r="L291" s="34" t="n">
        <x:f>J291*K291</x:f>
        <x:v>0</x:v>
      </x:c>
      <x:c r="M291" s="33" t="str">
        <x:v>Not answered</x:v>
      </x:c>
      <x:c r="N291" s="35" t="str">
        <x:v>The run ends before any model response or scientific execution.</x:v>
      </x:c>
    </x:row>
    <x:row r="292" ht="48" customHeight="1">
      <x:c r="A292" s="32" t="str">
        <x:v>FR-0005</x:v>
      </x:c>
      <x:c r="B292" s="33" t="str">
        <x:v>BixBench-Agent</x:v>
      </x:c>
      <x:c r="C292" s="33" t="str">
        <x:v>A31</x:v>
      </x:c>
      <x:c r="D292" s="33" t="str">
        <x:v>SLO: HR for culture-confirmed carriage in the fully adjusted Andersen-Gill model</x:v>
      </x:c>
      <x:c r="E292" s="59" t="n">
        <x:v>0.01</x:v>
      </x:c>
      <x:c r="F292" s="58" t="str">
        <x:v>[0, 0.13]</x:v>
      </x:c>
      <x:c r="G292" s="59" t="n">
        <x:v>0.13</x:v>
      </x:c>
      <x:c r="H292" s="58" t="str">
        <x:v>No corresponding executed estimate</x:v>
      </x:c>
      <x:c r="I292" s="58" t="str">
        <x:v>Not reported</x:v>
      </x:c>
      <x:c r="J292" s="57" t="n">
        <x:v>1</x:v>
      </x:c>
      <x:c r="K292" s="34" t="n">
        <x:v>0</x:v>
      </x:c>
      <x:c r="L292" s="34" t="n">
        <x:f>J292*K292</x:f>
        <x:v>0</x:v>
      </x:c>
      <x:c r="M292" s="33" t="str">
        <x:v>Not answered</x:v>
      </x:c>
      <x:c r="N292" s="35" t="str">
        <x:v>The run ends before any model response or scientific execution.</x:v>
      </x:c>
    </x:row>
    <x:row r="293" ht="48" customHeight="1">
      <x:c r="A293" s="32" t="str">
        <x:v>FR-0005</x:v>
      </x:c>
      <x:c r="B293" s="33" t="str">
        <x:v>BixBench-Agent</x:v>
      </x:c>
      <x:c r="C293" s="33" t="str">
        <x:v>A32</x:v>
      </x:c>
      <x:c r="D293" s="33" t="str">
        <x:v>SpyAD: HR for culture-confirmed carriage in the fully adjusted Andersen-Gill model</x:v>
      </x:c>
      <x:c r="E293" s="59" t="n">
        <x:v>0.18</x:v>
      </x:c>
      <x:c r="F293" s="58" t="str">
        <x:v>[0.08, 0.41]</x:v>
      </x:c>
      <x:c r="G293" s="59" t="n">
        <x:v>0.33</x:v>
      </x:c>
      <x:c r="H293" s="58" t="str">
        <x:v>No corresponding executed estimate</x:v>
      </x:c>
      <x:c r="I293" s="58" t="str">
        <x:v>Not reported</x:v>
      </x:c>
      <x:c r="J293" s="57" t="n">
        <x:v>1</x:v>
      </x:c>
      <x:c r="K293" s="34" t="n">
        <x:v>0</x:v>
      </x:c>
      <x:c r="L293" s="34" t="n">
        <x:f>J293*K293</x:f>
        <x:v>0</x:v>
      </x:c>
      <x:c r="M293" s="33" t="str">
        <x:v>Not answered</x:v>
      </x:c>
      <x:c r="N293" s="35" t="str">
        <x:v>The run ends before any model response or scientific execution.</x:v>
      </x:c>
    </x:row>
    <x:row r="294" ht="48" customHeight="1">
      <x:c r="A294" s="32" t="str">
        <x:v>FR-0005</x:v>
      </x:c>
      <x:c r="B294" s="33" t="str">
        <x:v>BixBench-Agent</x:v>
      </x:c>
      <x:c r="C294" s="33" t="str">
        <x:v>A33</x:v>
      </x:c>
      <x:c r="D294" s="33" t="str">
        <x:v>SpyCEP: HR for culture-confirmed carriage in the fully adjusted Andersen-Gill model</x:v>
      </x:c>
      <x:c r="E294" s="59" t="n">
        <x:v>0.2</x:v>
      </x:c>
      <x:c r="F294" s="58" t="str">
        <x:v>[0.09, 0.49]</x:v>
      </x:c>
      <x:c r="G294" s="59" t="n">
        <x:v>0.4</x:v>
      </x:c>
      <x:c r="H294" s="58" t="str">
        <x:v>No corresponding executed estimate</x:v>
      </x:c>
      <x:c r="I294" s="58" t="str">
        <x:v>Not reported</x:v>
      </x:c>
      <x:c r="J294" s="57" t="n">
        <x:v>1</x:v>
      </x:c>
      <x:c r="K294" s="34" t="n">
        <x:v>0</x:v>
      </x:c>
      <x:c r="L294" s="34" t="n">
        <x:f>J294*K294</x:f>
        <x:v>0</x:v>
      </x:c>
      <x:c r="M294" s="33" t="str">
        <x:v>Not answered</x:v>
      </x:c>
      <x:c r="N294" s="35" t="str">
        <x:v>The run ends before any model response or scientific execution.</x:v>
      </x:c>
    </x:row>
    <x:row r="295" ht="48" customHeight="1">
      <x:c r="A295" s="40" t="str">
        <x:v>FR-0001</x:v>
      </x:c>
      <x:c r="B295" s="41" t="str">
        <x:v>STELLA</x:v>
      </x:c>
      <x:c r="C295" s="41" t="str">
        <x:v>A01</x:v>
      </x:c>
      <x:c r="D295" s="41" t="str">
        <x:v>Unique participants with CGM data in the public subset</x:v>
      </x:c>
      <x:c r="E295" s="54" t="n">
        <x:v>38</x:v>
      </x:c>
      <x:c r="F295" s="55" t="str">
        <x:v>Not specified</x:v>
      </x:c>
      <x:c r="G295" s="55" t="str">
        <x:v>Exact count</x:v>
      </x:c>
      <x:c r="H295" s="54" t="n">
        <x:v>38</x:v>
      </x:c>
      <x:c r="I295" s="55" t="str">
        <x:v>Not reported</x:v>
      </x:c>
      <x:c r="J295" s="54" t="n">
        <x:v>1</x:v>
      </x:c>
      <x:c r="K295" s="56" t="n">
        <x:v>1</x:v>
      </x:c>
      <x:c r="L295" s="56" t="n">
        <x:f>J295*K295</x:f>
        <x:v>1</x:v>
      </x:c>
      <x:c r="M295" s="41" t="str">
        <x:v>Comparable</x:v>
      </x:c>
      <x:c r="N295" s="41" t="str">
        <x:v>Report, answer, cohort_flow.csv and results.json explicitly identify 38 CGM participants.</x:v>
      </x:c>
    </x:row>
    <x:row r="296" ht="48" customHeight="1">
      <x:c r="A296" s="32" t="str">
        <x:v>FR-0001</x:v>
      </x:c>
      <x:c r="B296" s="33" t="str">
        <x:v>STELLA</x:v>
      </x:c>
      <x:c r="C296" s="33" t="str">
        <x:v>A02</x:v>
      </x:c>
      <x:c r="D296" s="33" t="str">
        <x:v>Glucose-response curves for the seven unmitigated standard meals</x:v>
      </x:c>
      <x:c r="E296" s="57" t="n">
        <x:v>393</x:v>
      </x:c>
      <x:c r="F296" s="58" t="str">
        <x:v>Not specified</x:v>
      </x:c>
      <x:c r="G296" s="58" t="str">
        <x:v>Exact count</x:v>
      </x:c>
      <x:c r="H296" s="57" t="n">
        <x:v>393</x:v>
      </x:c>
      <x:c r="I296" s="58" t="str">
        <x:v>Not reported</x:v>
      </x:c>
      <x:c r="J296" s="57" t="n">
        <x:v>1</x:v>
      </x:c>
      <x:c r="K296" s="34" t="n">
        <x:v>1</x:v>
      </x:c>
      <x:c r="L296" s="34" t="n">
        <x:f>J296*K296</x:f>
        <x:v>1</x:v>
      </x:c>
      <x:c r="M296" s="33" t="str">
        <x:v>Comparable</x:v>
      </x:c>
      <x:c r="N296" s="35" t="str">
        <x:v>Executed cohort flow explicitly reports 393 usable seven-base-meal curves.</x:v>
      </x:c>
    </x:row>
    <x:row r="297" ht="48" customHeight="1">
      <x:c r="A297" s="32" t="str">
        <x:v>FR-0001</x:v>
      </x:c>
      <x:c r="B297" s="33" t="str">
        <x:v>STELLA</x:v>
      </x:c>
      <x:c r="C297" s="33" t="str">
        <x:v>A03</x:v>
      </x:c>
      <x:c r="D297" s="33" t="str">
        <x:v>Potatoes: Pearson correlation of first versus second peak glucose increment; paired participants, n=21</x:v>
      </x:c>
      <x:c r="E297" s="59" t="n">
        <x:v>0.6909911814</x:v>
      </x:c>
      <x:c r="F297" s="58" t="str">
        <x:v>[0.369533, 0.864735]</x:v>
      </x:c>
      <x:c r="G297" s="59" t="n">
        <x:v>0.4952016496</x:v>
      </x:c>
      <x:c r="H297" s="58" t="str">
        <x:v>No corresponding executed estimate</x:v>
      </x:c>
      <x:c r="I297" s="58" t="str">
        <x:v>Not reported</x:v>
      </x:c>
      <x:c r="J297" s="57" t="n">
        <x:v>1</x:v>
      </x:c>
      <x:c r="K297" s="34" t="n">
        <x:v>0</x:v>
      </x:c>
      <x:c r="L297" s="34" t="n">
        <x:f>J297*K297</x:f>
        <x:v>0</x:v>
      </x:c>
      <x:c r="M297" s="33" t="str">
        <x:v>Different method</x:v>
      </x:c>
      <x:c r="N297" s="35" t="str">
        <x:v>Pooled raw or food-adjusted repeat iAUC Pearson r on 156 pairs is not Potatoes-only repeat peak-increment Pearson correlation.</x:v>
      </x:c>
    </x:row>
    <x:row r="298" ht="54" customHeight="1">
      <x:c r="A298" s="32" t="str">
        <x:v>FR-0001</x:v>
      </x:c>
      <x:c r="B298" s="33" t="str">
        <x:v>STELLA</x:v>
      </x:c>
      <x:c r="C298" s="33" t="str">
        <x:v>A04</x:v>
      </x:c>
      <x:c r="D298" s="33" t="str">
        <x:v>Within-participant Rice minus Beans mean peak glucose increment (mg/dL); 21 pairs</x:v>
      </x:c>
      <x:c r="E298" s="59" t="n">
        <x:v>39.2518017663</x:v>
      </x:c>
      <x:c r="F298" s="58" t="str">
        <x:v>[30.6632, 47.8404]</x:v>
      </x:c>
      <x:c r="G298" s="59" t="n">
        <x:v>17.1772122957</x:v>
      </x:c>
      <x:c r="H298" s="58" t="str">
        <x:v>No corresponding executed estimate</x:v>
      </x:c>
      <x:c r="I298" s="58" t="str">
        <x:v>Not reported</x:v>
      </x:c>
      <x:c r="J298" s="57" t="n">
        <x:v>1</x:v>
      </x:c>
      <x:c r="K298" s="34" t="n">
        <x:v>0</x:v>
      </x:c>
      <x:c r="L298" s="34" t="n">
        <x:f>J298*K298</x:f>
        <x:v>0</x:v>
      </x:c>
      <x:c r="M298" s="33" t="str">
        <x:v>Different method</x:v>
      </x:c>
      <x:c r="N298" s="35" t="str">
        <x:v>Actual estimands use signed 0–120-minute iAUC, pooled repeat/covariance contrasts and continuous per-SD physiology effects, not the corresponding reference peak contrasts.</x:v>
      </x:c>
    </x:row>
    <x:row r="299" ht="54" customHeight="1">
      <x:c r="A299" s="32" t="str">
        <x:v>FR-0001</x:v>
      </x:c>
      <x:c r="B299" s="33" t="str">
        <x:v>STELLA</x:v>
      </x:c>
      <x:c r="C299" s="33" t="str">
        <x:v>A05</x:v>
      </x:c>
      <x:c r="D299" s="33" t="str">
        <x:v>Potatoes: participant-mean peak increment, insulin-resistant minus insulin-sensitive (mg/dL); SSPG groups, n=14 versus 17</x:v>
      </x:c>
      <x:c r="E299" s="59" t="n">
        <x:v>22.9003192008</x:v>
      </x:c>
      <x:c r="F299" s="58" t="str">
        <x:v>[4.76207, 41.0386]</x:v>
      </x:c>
      <x:c r="G299" s="59" t="n">
        <x:v>36.2764959992</x:v>
      </x:c>
      <x:c r="H299" s="58" t="str">
        <x:v>No corresponding executed estimate</x:v>
      </x:c>
      <x:c r="I299" s="58" t="str">
        <x:v>Not reported</x:v>
      </x:c>
      <x:c r="J299" s="57" t="n">
        <x:v>2</x:v>
      </x:c>
      <x:c r="K299" s="34" t="n">
        <x:v>0</x:v>
      </x:c>
      <x:c r="L299" s="34" t="n">
        <x:f>J299*K299</x:f>
        <x:v>0</x:v>
      </x:c>
      <x:c r="M299" s="33" t="str">
        <x:v>Different method</x:v>
      </x:c>
      <x:c r="N299" s="35" t="str">
        <x:v>Actual estimands use signed 0–120-minute iAUC, pooled repeat/covariance contrasts and continuous per-SD physiology effects, not the corresponding reference peak contrasts.</x:v>
      </x:c>
    </x:row>
    <x:row r="300" ht="54" customHeight="1">
      <x:c r="A300" s="32" t="str">
        <x:v>FR-0001</x:v>
      </x:c>
      <x:c r="B300" s="33" t="str">
        <x:v>STELLA</x:v>
      </x:c>
      <x:c r="C300" s="33" t="str">
        <x:v>A06</x:v>
      </x:c>
      <x:c r="D300" s="33" t="str">
        <x:v>Potatoes: OLS coefficient of insulin resistance for peak increment (mg/dL), adjusted for BMI, age and sex; n=29</x:v>
      </x:c>
      <x:c r="E300" s="59" t="n">
        <x:v>38.9480203973</x:v>
      </x:c>
      <x:c r="F300" s="58" t="str">
        <x:v>[17.4817, 60.4144]</x:v>
      </x:c>
      <x:c r="G300" s="59" t="n">
        <x:v>42.93273471</x:v>
      </x:c>
      <x:c r="H300" s="58" t="str">
        <x:v>No corresponding executed estimate</x:v>
      </x:c>
      <x:c r="I300" s="58" t="str">
        <x:v>Not reported</x:v>
      </x:c>
      <x:c r="J300" s="57" t="n">
        <x:v>2</x:v>
      </x:c>
      <x:c r="K300" s="34" t="n">
        <x:v>0</x:v>
      </x:c>
      <x:c r="L300" s="34" t="n">
        <x:f>J300*K300</x:f>
        <x:v>0</x:v>
      </x:c>
      <x:c r="M300" s="33" t="str">
        <x:v>Different method</x:v>
      </x:c>
      <x:c r="N300" s="35" t="str">
        <x:v>Actual estimands use signed 0–120-minute iAUC, pooled repeat/covariance contrasts and continuous per-SD physiology effects, not the corresponding reference peak contrasts.</x:v>
      </x:c>
    </x:row>
    <x:row r="301" ht="54" customHeight="1">
      <x:c r="A301" s="32" t="str">
        <x:v>FR-0001</x:v>
      </x:c>
      <x:c r="B301" s="33" t="str">
        <x:v>STELLA</x:v>
      </x:c>
      <x:c r="C301" s="33" t="str">
        <x:v>A07</x:v>
      </x:c>
      <x:c r="D301" s="33" t="str">
        <x:v>Pasta: participant-mean peak increment, insulin-resistant minus insulin-sensitive (mg/dL); n=13 versus 9</x:v>
      </x:c>
      <x:c r="E301" s="59" t="n">
        <x:v>19.7260427339</x:v>
      </x:c>
      <x:c r="F301" s="58" t="str">
        <x:v>[-0.461107, 39.9132]</x:v>
      </x:c>
      <x:c r="G301" s="59" t="n">
        <x:v>40.3742991893</x:v>
      </x:c>
      <x:c r="H301" s="58" t="str">
        <x:v>No corresponding executed estimate</x:v>
      </x:c>
      <x:c r="I301" s="58" t="str">
        <x:v>Not reported</x:v>
      </x:c>
      <x:c r="J301" s="57" t="n">
        <x:v>1</x:v>
      </x:c>
      <x:c r="K301" s="34" t="n">
        <x:v>0</x:v>
      </x:c>
      <x:c r="L301" s="34" t="n">
        <x:f>J301*K301</x:f>
        <x:v>0</x:v>
      </x:c>
      <x:c r="M301" s="33" t="str">
        <x:v>Different method</x:v>
      </x:c>
      <x:c r="N301" s="35" t="str">
        <x:v>Actual estimands use signed 0–120-minute iAUC, pooled repeat/covariance contrasts and continuous per-SD physiology effects, not the corresponding reference peak contrasts.</x:v>
      </x:c>
    </x:row>
    <x:row r="302" ht="54" customHeight="1">
      <x:c r="A302" s="32" t="str">
        <x:v>FR-0001</x:v>
      </x:c>
      <x:c r="B302" s="33" t="str">
        <x:v>STELLA</x:v>
      </x:c>
      <x:c r="C302" s="33" t="str">
        <x:v>A08</x:v>
      </x:c>
      <x:c r="D302" s="33" t="str">
        <x:v>Potatoes: participant-mean peak increment, dysfunctional minus normal beta-cell function (mg/dL); DI groups, n=11 versus 8</x:v>
      </x:c>
      <x:c r="E302" s="59" t="n">
        <x:v>26.7850824792</x:v>
      </x:c>
      <x:c r="F302" s="58" t="str">
        <x:v>[5.73288, 47.8373]</x:v>
      </x:c>
      <x:c r="G302" s="59" t="n">
        <x:v>42.1044051555</x:v>
      </x:c>
      <x:c r="H302" s="58" t="str">
        <x:v>No corresponding executed estimate</x:v>
      </x:c>
      <x:c r="I302" s="58" t="str">
        <x:v>Not reported</x:v>
      </x:c>
      <x:c r="J302" s="57" t="n">
        <x:v>2</x:v>
      </x:c>
      <x:c r="K302" s="34" t="n">
        <x:v>0</x:v>
      </x:c>
      <x:c r="L302" s="34" t="n">
        <x:f>J302*K302</x:f>
        <x:v>0</x:v>
      </x:c>
      <x:c r="M302" s="33" t="str">
        <x:v>Different method</x:v>
      </x:c>
      <x:c r="N302" s="35" t="str">
        <x:v>Actual estimands use signed 0–120-minute iAUC, pooled repeat/covariance contrasts and continuous per-SD physiology effects, not the corresponding reference peak contrasts.</x:v>
      </x:c>
    </x:row>
    <x:row r="303" ht="54" customHeight="1">
      <x:c r="A303" s="32" t="str">
        <x:v>FR-0001</x:v>
      </x:c>
      <x:c r="B303" s="33" t="str">
        <x:v>STELLA</x:v>
      </x:c>
      <x:c r="C303" s="33" t="str">
        <x:v>A09</x:v>
      </x:c>
      <x:c r="D303" s="33" t="str">
        <x:v>Spearman correlation between participant-level Potatoes/Grapes peak-increment ratio and SSPG; n=31</x:v>
      </x:c>
      <x:c r="E303" s="59" t="n">
        <x:v>0.6728500891</x:v>
      </x:c>
      <x:c r="F303" s="58" t="str">
        <x:v>[0.40884, 0.802562]</x:v>
      </x:c>
      <x:c r="G303" s="59" t="n">
        <x:v>0.3937219199</x:v>
      </x:c>
      <x:c r="H303" s="58" t="str">
        <x:v>No corresponding executed estimate</x:v>
      </x:c>
      <x:c r="I303" s="58" t="str">
        <x:v>Not reported</x:v>
      </x:c>
      <x:c r="J303" s="57" t="n">
        <x:v>2</x:v>
      </x:c>
      <x:c r="K303" s="34" t="n">
        <x:v>0</x:v>
      </x:c>
      <x:c r="L303" s="34" t="n">
        <x:f>J303*K303</x:f>
        <x:v>0</x:v>
      </x:c>
      <x:c r="M303" s="33" t="str">
        <x:v>Different method</x:v>
      </x:c>
      <x:c r="N303" s="35" t="str">
        <x:v>Actual estimands use signed 0–120-minute iAUC, pooled repeat/covariance contrasts and continuous per-SD physiology effects, not the corresponding reference peak contrasts.</x:v>
      </x:c>
    </x:row>
    <x:row r="304" ht="54" customHeight="1">
      <x:c r="A304" s="40" t="str">
        <x:v>FR-0002</x:v>
      </x:c>
      <x:c r="B304" s="41" t="str">
        <x:v>STELLA</x:v>
      </x:c>
      <x:c r="C304" s="41" t="str">
        <x:v>A1</x:v>
      </x:c>
      <x:c r="D304" s="41" t="str">
        <x:v>Participants with analyzable DNA sequencing</x:v>
      </x:c>
      <x:c r="E304" s="54" t="n">
        <x:v>89</x:v>
      </x:c>
      <x:c r="F304" s="55" t="str">
        <x:v>Not specified</x:v>
      </x:c>
      <x:c r="G304" s="54" t="n">
        <x:v>0</x:v>
      </x:c>
      <x:c r="H304" s="55" t="str">
        <x:v>No corresponding executed estimate</x:v>
      </x:c>
      <x:c r="I304" s="55" t="str">
        <x:v>Not reported</x:v>
      </x:c>
      <x:c r="J304" s="54" t="n">
        <x:v>1</x:v>
      </x:c>
      <x:c r="K304" s="56" t="n">
        <x:v>0</x:v>
      </x:c>
      <x:c r="L304" s="56" t="n">
        <x:f>J304*K304</x:f>
        <x:v>0</x:v>
      </x:c>
      <x:c r="M304" s="41" t="str">
        <x:v>Not answered</x:v>
      </x:c>
      <x:c r="N304" s="41" t="str">
        <x:v>No explicit matching assay-wide total. Pair-summary counts are arm-specific; the RNA reconstruction count is 80 positive-mass samples, excluding six zero-mass samples, not the full-assay 86. No corresponding aggregate is explicitly produced.</x:v>
      </x:c>
    </x:row>
    <x:row r="305" ht="54" customHeight="1">
      <x:c r="A305" s="32" t="str">
        <x:v>FR-0002</x:v>
      </x:c>
      <x:c r="B305" s="33" t="str">
        <x:v>STELLA</x:v>
      </x:c>
      <x:c r="C305" s="33" t="str">
        <x:v>A2</x:v>
      </x:c>
      <x:c r="D305" s="33" t="str">
        <x:v>DNA sequencing samples across both study arms and visits</x:v>
      </x:c>
      <x:c r="E305" s="57" t="n">
        <x:v>127</x:v>
      </x:c>
      <x:c r="F305" s="58" t="str">
        <x:v>Not specified</x:v>
      </x:c>
      <x:c r="G305" s="57" t="n">
        <x:v>0</x:v>
      </x:c>
      <x:c r="H305" s="57" t="n">
        <x:v>127</x:v>
      </x:c>
      <x:c r="I305" s="58" t="str">
        <x:v>Not reported</x:v>
      </x:c>
      <x:c r="J305" s="57" t="n">
        <x:v>1</x:v>
      </x:c>
      <x:c r="K305" s="34" t="n">
        <x:v>1</x:v>
      </x:c>
      <x:c r="L305" s="34" t="n">
        <x:f>J305*K305</x:f>
        <x:v>1</x:v>
      </x:c>
      <x:c r="M305" s="33" t="str">
        <x:v>Comparable</x:v>
      </x:c>
      <x:c r="N305" s="35" t="str">
        <x:v>execution logs explicitly show DNA count=127 in the all-sample ARG-mass reconstruction audit (console line 831); all DNA samples have positive total mass, so this is the matching full-assay sample count.</x:v>
      </x:c>
    </x:row>
    <x:row r="306" ht="54" customHeight="1">
      <x:c r="A306" s="32" t="str">
        <x:v>FR-0002</x:v>
      </x:c>
      <x:c r="B306" s="33" t="str">
        <x:v>STELLA</x:v>
      </x:c>
      <x:c r="C306" s="33" t="str">
        <x:v>A3</x:v>
      </x:c>
      <x:c r="D306" s="33" t="str">
        <x:v>Participants with analyzable RNA sequencing</x:v>
      </x:c>
      <x:c r="E306" s="57" t="n">
        <x:v>70</x:v>
      </x:c>
      <x:c r="F306" s="58" t="str">
        <x:v>Not specified</x:v>
      </x:c>
      <x:c r="G306" s="57" t="n">
        <x:v>0</x:v>
      </x:c>
      <x:c r="H306" s="58" t="str">
        <x:v>No corresponding executed estimate</x:v>
      </x:c>
      <x:c r="I306" s="58" t="str">
        <x:v>Not reported</x:v>
      </x:c>
      <x:c r="J306" s="57" t="n">
        <x:v>1</x:v>
      </x:c>
      <x:c r="K306" s="34" t="n">
        <x:v>0</x:v>
      </x:c>
      <x:c r="L306" s="34" t="n">
        <x:f>J306*K306</x:f>
        <x:v>0</x:v>
      </x:c>
      <x:c r="M306" s="33" t="str">
        <x:v>Not answered</x:v>
      </x:c>
      <x:c r="N306" s="35" t="str">
        <x:v>No explicit matching assay-wide total. Pair-summary counts are arm-specific; the RNA reconstruction count is 80 positive-mass samples, excluding six zero-mass samples, not the full-assay 86. No corresponding aggregate is explicitly produced.</x:v>
      </x:c>
    </x:row>
    <x:row r="307" ht="54" customHeight="1">
      <x:c r="A307" s="32" t="str">
        <x:v>FR-0002</x:v>
      </x:c>
      <x:c r="B307" s="33" t="str">
        <x:v>STELLA</x:v>
      </x:c>
      <x:c r="C307" s="33" t="str">
        <x:v>A4</x:v>
      </x:c>
      <x:c r="D307" s="33" t="str">
        <x:v>RNA sequencing samples across both study arms and visits</x:v>
      </x:c>
      <x:c r="E307" s="57" t="n">
        <x:v>86</x:v>
      </x:c>
      <x:c r="F307" s="58" t="str">
        <x:v>Not specified</x:v>
      </x:c>
      <x:c r="G307" s="57" t="n">
        <x:v>0</x:v>
      </x:c>
      <x:c r="H307" s="58" t="str">
        <x:v>No corresponding executed estimate</x:v>
      </x:c>
      <x:c r="I307" s="58" t="str">
        <x:v>Not reported</x:v>
      </x:c>
      <x:c r="J307" s="57" t="n">
        <x:v>1</x:v>
      </x:c>
      <x:c r="K307" s="34" t="n">
        <x:v>0</x:v>
      </x:c>
      <x:c r="L307" s="34" t="n">
        <x:f>J307*K307</x:f>
        <x:v>0</x:v>
      </x:c>
      <x:c r="M307" s="33" t="str">
        <x:v>Not answered</x:v>
      </x:c>
      <x:c r="N307" s="35" t="str">
        <x:v>No explicit matching assay-wide total. Pair-summary counts are arm-specific; the RNA reconstruction count is 80 positive-mass samples, excluding six zero-mass samples, not the full-assay 86. No corresponding aggregate is explicitly produced.</x:v>
      </x:c>
    </x:row>
    <x:row r="308" ht="54" customHeight="1">
      <x:c r="A308" s="32" t="str">
        <x:v>FR-0002</x:v>
      </x:c>
      <x:c r="B308" s="33" t="str">
        <x:v>STELLA</x:v>
      </x:c>
      <x:c r="C308" s="33" t="str">
        <x:v>A5</x:v>
      </x:c>
      <x:c r="D308" s="33" t="str">
        <x:v>Distinct tetracycline ARGs detected across all day-0 DNA samples</x:v>
      </x:c>
      <x:c r="E308" s="57" t="n">
        <x:v>41</x:v>
      </x:c>
      <x:c r="F308" s="58" t="str">
        <x:v>Not specified</x:v>
      </x:c>
      <x:c r="G308" s="57" t="n">
        <x:v>5</x:v>
      </x:c>
      <x:c r="H308" s="58" t="str">
        <x:v>Different estimand; see verification</x:v>
      </x:c>
      <x:c r="I308" s="58" t="str">
        <x:v>Not reported</x:v>
      </x:c>
      <x:c r="J308" s="57" t="n">
        <x:v>1</x:v>
      </x:c>
      <x:c r="K308" s="34" t="n">
        <x:v>0</x:v>
      </x:c>
      <x:c r="L308" s="34" t="n">
        <x:f>J308*K308</x:f>
        <x:v>0</x:v>
      </x:c>
      <x:c r="M308" s="33" t="str">
        <x:v>Different estimand</x:v>
      </x:c>
      <x:c r="N308" s="35" t="str">
        <x:v>Paired between-arm differences in raw class proportion or log1p mass/richness change do not match the adjusted within-doxy logit-proportion time coefficient, baseline pooled prevalence/richness or all-sample categorized-dose anchors.</x:v>
      </x:c>
    </x:row>
    <x:row r="309" ht="54" customHeight="1">
      <x:c r="A309" s="32" t="str">
        <x:v>FR-0002</x:v>
      </x:c>
      <x:c r="B309" s="33" t="str">
        <x:v>STELLA</x:v>
      </x:c>
      <x:c r="C309" s="33" t="str">
        <x:v>A6</x:v>
      </x:c>
      <x:c r="D309" s="33" t="str">
        <x:v>Distinct tetracycline ARGs detected across all day-0 RNA samples</x:v>
      </x:c>
      <x:c r="E309" s="57" t="n">
        <x:v>17</x:v>
      </x:c>
      <x:c r="F309" s="58" t="str">
        <x:v>Not specified</x:v>
      </x:c>
      <x:c r="G309" s="57" t="n">
        <x:v>4</x:v>
      </x:c>
      <x:c r="H309" s="58" t="str">
        <x:v>Different estimand; see verification</x:v>
      </x:c>
      <x:c r="I309" s="58" t="str">
        <x:v>Not reported</x:v>
      </x:c>
      <x:c r="J309" s="57" t="n">
        <x:v>1</x:v>
      </x:c>
      <x:c r="K309" s="34" t="n">
        <x:v>0</x:v>
      </x:c>
      <x:c r="L309" s="34" t="n">
        <x:f>J309*K309</x:f>
        <x:v>0</x:v>
      </x:c>
      <x:c r="M309" s="33" t="str">
        <x:v>Different estimand</x:v>
      </x:c>
      <x:c r="N309" s="35" t="str">
        <x:v>Paired between-arm differences in raw class proportion or log1p mass/richness change do not match the adjusted within-doxy logit-proportion time coefficient, baseline pooled prevalence/richness or all-sample categorized-dose anchors.</x:v>
      </x:c>
    </x:row>
    <x:row r="310" ht="54" customHeight="1">
      <x:c r="A310" s="32" t="str">
        <x:v>FR-0002</x:v>
      </x:c>
      <x:c r="B310" s="33" t="str">
        <x:v>STELLA</x:v>
      </x:c>
      <x:c r="C310" s="33" t="str">
        <x:v>A7</x:v>
      </x:c>
      <x:c r="D310" s="33" t="str">
        <x:v>Day-0 DNA samples with at least one tetracycline ARG; proportion, 58/58</x:v>
      </x:c>
      <x:c r="E310" s="57" t="n">
        <x:v>1</x:v>
      </x:c>
      <x:c r="F310" s="58" t="str">
        <x:v>Not specified</x:v>
      </x:c>
      <x:c r="G310" s="59" t="n">
        <x:v>0.05</x:v>
      </x:c>
      <x:c r="H310" s="58" t="str">
        <x:v>Different estimand; see verification</x:v>
      </x:c>
      <x:c r="I310" s="58" t="str">
        <x:v>Not reported</x:v>
      </x:c>
      <x:c r="J310" s="57" t="n">
        <x:v>1</x:v>
      </x:c>
      <x:c r="K310" s="34" t="n">
        <x:v>0</x:v>
      </x:c>
      <x:c r="L310" s="34" t="n">
        <x:f>J310*K310</x:f>
        <x:v>0</x:v>
      </x:c>
      <x:c r="M310" s="33" t="str">
        <x:v>Different estimand</x:v>
      </x:c>
      <x:c r="N310" s="35" t="str">
        <x:v>Paired between-arm differences in raw class proportion or log1p mass/richness change do not match the adjusted within-doxy logit-proportion time coefficient, baseline pooled prevalence/richness or all-sample categorized-dose anchors.</x:v>
      </x:c>
    </x:row>
    <x:row r="311" ht="54" customHeight="1">
      <x:c r="A311" s="32" t="str">
        <x:v>FR-0002</x:v>
      </x:c>
      <x:c r="B311" s="33" t="str">
        <x:v>STELLA</x:v>
      </x:c>
      <x:c r="C311" s="33" t="str">
        <x:v>A8</x:v>
      </x:c>
      <x:c r="D311" s="33" t="str">
        <x:v>Day-0 RNA samples with at least one tetracycline ARG; proportion, 22/26</x:v>
      </x:c>
      <x:c r="E311" s="59" t="n">
        <x:v>0.85</x:v>
      </x:c>
      <x:c r="F311" s="58" t="str">
        <x:v>Not specified</x:v>
      </x:c>
      <x:c r="G311" s="59" t="n">
        <x:v>0.1</x:v>
      </x:c>
      <x:c r="H311" s="58" t="str">
        <x:v>Different estimand; see verification</x:v>
      </x:c>
      <x:c r="I311" s="58" t="str">
        <x:v>Not reported</x:v>
      </x:c>
      <x:c r="J311" s="57" t="n">
        <x:v>1</x:v>
      </x:c>
      <x:c r="K311" s="34" t="n">
        <x:v>0</x:v>
      </x:c>
      <x:c r="L311" s="34" t="n">
        <x:f>J311*K311</x:f>
        <x:v>0</x:v>
      </x:c>
      <x:c r="M311" s="33" t="str">
        <x:v>Different estimand</x:v>
      </x:c>
      <x:c r="N311" s="35" t="str">
        <x:v>Paired between-arm differences in raw class proportion or log1p mass/richness change do not match the adjusted within-doxy logit-proportion time coefficient, baseline pooled prevalence/richness or all-sample categorized-dose anchors.</x:v>
      </x:c>
    </x:row>
    <x:row r="312" ht="67.5" customHeight="1">
      <x:c r="A312" s="32" t="str">
        <x:v>FR-0002</x:v>
      </x:c>
      <x:c r="B312" s="33" t="str">
        <x:v>STELLA</x:v>
      </x:c>
      <x:c r="C312" s="33" t="str">
        <x:v>A9</x:v>
      </x:c>
      <x:c r="D312" s="33" t="str">
        <x:v>Within doxy-PEP: month 6 versus day 0 coefficient for DNA tetracycline ARG mass proportion; zero/one-inflated beta model, logit mu, adjusted for HIV and cephalosporin days</x:v>
      </x:c>
      <x:c r="E312" s="59" t="n">
        <x:v>0.45</x:v>
      </x:c>
      <x:c r="F312" s="58" t="str">
        <x:v>[0.19, 0.7]</x:v>
      </x:c>
      <x:c r="G312" s="59" t="n">
        <x:v>0.51</x:v>
      </x:c>
      <x:c r="H312" s="58" t="str">
        <x:v>Different estimand; see verification</x:v>
      </x:c>
      <x:c r="I312" s="58" t="str">
        <x:v>Not reported</x:v>
      </x:c>
      <x:c r="J312" s="57" t="n">
        <x:v>2</x:v>
      </x:c>
      <x:c r="K312" s="34" t="n">
        <x:v>0</x:v>
      </x:c>
      <x:c r="L312" s="34" t="n">
        <x:f>J312*K312</x:f>
        <x:v>0</x:v>
      </x:c>
      <x:c r="M312" s="33" t="str">
        <x:v>Different estimand</x:v>
      </x:c>
      <x:c r="N312" s="35" t="str">
        <x:v>Paired between-arm differences in raw class proportion or log1p mass/richness change do not match the adjusted within-doxy logit-proportion time coefficient, baseline pooled prevalence/richness or all-sample categorized-dose anchors.</x:v>
      </x:c>
    </x:row>
    <x:row r="313" ht="67.5" customHeight="1">
      <x:c r="A313" s="32" t="str">
        <x:v>FR-0002</x:v>
      </x:c>
      <x:c r="B313" s="33" t="str">
        <x:v>STELLA</x:v>
      </x:c>
      <x:c r="C313" s="33" t="str">
        <x:v>A10</x:v>
      </x:c>
      <x:c r="D313" s="33" t="str">
        <x:v>Within doxy-PEP: month 6 versus day 0 coefficient for RNA tetracycline ARG expression-mass proportion; zero/one-inflated beta model, logit mu, adjusted for HIV and cephalosporin days</x:v>
      </x:c>
      <x:c r="E313" s="59" t="n">
        <x:v>1.5</x:v>
      </x:c>
      <x:c r="F313" s="58" t="str">
        <x:v>[0.94, 2]</x:v>
      </x:c>
      <x:c r="G313" s="59" t="n">
        <x:v>1.06</x:v>
      </x:c>
      <x:c r="H313" s="58" t="str">
        <x:v>Different estimand; see verification</x:v>
      </x:c>
      <x:c r="I313" s="58" t="str">
        <x:v>Not reported</x:v>
      </x:c>
      <x:c r="J313" s="57" t="n">
        <x:v>2</x:v>
      </x:c>
      <x:c r="K313" s="34" t="n">
        <x:v>0</x:v>
      </x:c>
      <x:c r="L313" s="34" t="n">
        <x:f>J313*K313</x:f>
        <x:v>0</x:v>
      </x:c>
      <x:c r="M313" s="33" t="str">
        <x:v>Different estimand</x:v>
      </x:c>
      <x:c r="N313" s="35" t="str">
        <x:v>Paired between-arm differences in raw class proportion or log1p mass/richness change do not match the adjusted within-doxy logit-proportion time coefficient, baseline pooled prevalence/richness or all-sample categorized-dose anchors.</x:v>
      </x:c>
    </x:row>
    <x:row r="314" ht="67.5" customHeight="1">
      <x:c r="A314" s="32" t="str">
        <x:v>FR-0002</x:v>
      </x:c>
      <x:c r="B314" s="33" t="str">
        <x:v>STELLA</x:v>
      </x:c>
      <x:c r="C314" s="33" t="str">
        <x:v>A11</x:v>
      </x:c>
      <x:c r="D314" s="33" t="str">
        <x:v>Within doxy-PEP: month 6 versus day 0 coefficient for RNA MLS ARG expression-mass proportion; zero/one-inflated beta model, logit mu, adjusted for HIV and cephalosporin days</x:v>
      </x:c>
      <x:c r="E314" s="59" t="n">
        <x:v>-0.76</x:v>
      </x:c>
      <x:c r="F314" s="58" t="str">
        <x:v>[-1.37, -0.15]</x:v>
      </x:c>
      <x:c r="G314" s="59" t="n">
        <x:v>1.22</x:v>
      </x:c>
      <x:c r="H314" s="58" t="str">
        <x:v>Different estimand; see verification</x:v>
      </x:c>
      <x:c r="I314" s="58" t="str">
        <x:v>Not reported</x:v>
      </x:c>
      <x:c r="J314" s="57" t="n">
        <x:v>1</x:v>
      </x:c>
      <x:c r="K314" s="34" t="n">
        <x:v>0</x:v>
      </x:c>
      <x:c r="L314" s="34" t="n">
        <x:f>J314*K314</x:f>
        <x:v>0</x:v>
      </x:c>
      <x:c r="M314" s="33" t="str">
        <x:v>Different estimand</x:v>
      </x:c>
      <x:c r="N314" s="35" t="str">
        <x:v>Paired between-arm differences in raw class proportion or log1p mass/richness change do not match the adjusted within-doxy logit-proportion time coefficient, baseline pooled prevalence/richness or all-sample categorized-dose anchors.</x:v>
      </x:c>
    </x:row>
    <x:row r="315" ht="54" customHeight="1">
      <x:c r="A315" s="32" t="str">
        <x:v>FR-0002</x:v>
      </x:c>
      <x:c r="B315" s="33" t="str">
        <x:v>STELLA</x:v>
      </x:c>
      <x:c r="C315" s="33" t="str">
        <x:v>A12</x:v>
      </x:c>
      <x:c r="D315" s="33" t="str">
        <x:v>All DNA samples: Spearman correlation of four cumulative doxycycline-dose categories with tetracycline ARG mass proportion</x:v>
      </x:c>
      <x:c r="E315" s="59" t="n">
        <x:v>0.23</x:v>
      </x:c>
      <x:c r="F315" s="58" t="str">
        <x:v>Not specified</x:v>
      </x:c>
      <x:c r="G315" s="59" t="n">
        <x:v>0.1</x:v>
      </x:c>
      <x:c r="H315" s="58" t="str">
        <x:v>Different estimand; see verification</x:v>
      </x:c>
      <x:c r="I315" s="58" t="str">
        <x:v>Not reported</x:v>
      </x:c>
      <x:c r="J315" s="57" t="n">
        <x:v>1</x:v>
      </x:c>
      <x:c r="K315" s="34" t="n">
        <x:v>0</x:v>
      </x:c>
      <x:c r="L315" s="34" t="n">
        <x:f>J315*K315</x:f>
        <x:v>0</x:v>
      </x:c>
      <x:c r="M315" s="33" t="str">
        <x:v>Different estimand</x:v>
      </x:c>
      <x:c r="N315" s="35" t="str">
        <x:v>Paired between-arm differences in raw class proportion or log1p mass/richness change do not match the adjusted within-doxy logit-proportion time coefficient, baseline pooled prevalence/richness or all-sample categorized-dose anchors.</x:v>
      </x:c>
    </x:row>
    <x:row r="316" ht="54" customHeight="1">
      <x:c r="A316" s="32" t="str">
        <x:v>FR-0002</x:v>
      </x:c>
      <x:c r="B316" s="33" t="str">
        <x:v>STELLA</x:v>
      </x:c>
      <x:c r="C316" s="33" t="str">
        <x:v>A13</x:v>
      </x:c>
      <x:c r="D316" s="33" t="str">
        <x:v>All RNA samples: Spearman correlation of four cumulative doxycycline-dose categories with expressed tetracycline ARG richness</x:v>
      </x:c>
      <x:c r="E316" s="59" t="n">
        <x:v>0.39</x:v>
      </x:c>
      <x:c r="F316" s="58" t="str">
        <x:v>Not specified</x:v>
      </x:c>
      <x:c r="G316" s="59" t="n">
        <x:v>0.15</x:v>
      </x:c>
      <x:c r="H316" s="58" t="str">
        <x:v>Different estimand; see verification</x:v>
      </x:c>
      <x:c r="I316" s="58" t="str">
        <x:v>Not reported</x:v>
      </x:c>
      <x:c r="J316" s="57" t="n">
        <x:v>1</x:v>
      </x:c>
      <x:c r="K316" s="34" t="n">
        <x:v>0</x:v>
      </x:c>
      <x:c r="L316" s="34" t="n">
        <x:f>J316*K316</x:f>
        <x:v>0</x:v>
      </x:c>
      <x:c r="M316" s="33" t="str">
        <x:v>Different estimand</x:v>
      </x:c>
      <x:c r="N316" s="35" t="str">
        <x:v>Paired between-arm differences in raw class proportion or log1p mass/richness change do not match the adjusted within-doxy logit-proportion time coefficient, baseline pooled prevalence/richness or all-sample categorized-dose anchors.</x:v>
      </x:c>
    </x:row>
    <x:row r="317" ht="54" customHeight="1">
      <x:c r="A317" s="32" t="str">
        <x:v>FR-0002</x:v>
      </x:c>
      <x:c r="B317" s="33" t="str">
        <x:v>STELLA</x:v>
      </x:c>
      <x:c r="C317" s="33" t="str">
        <x:v>A14</x:v>
      </x:c>
      <x:c r="D317" s="33" t="str">
        <x:v>All RNA samples: Spearman correlation of four cumulative doxycycline-dose categories with expressed tetracycline ARG mass proportion</x:v>
      </x:c>
      <x:c r="E317" s="59" t="n">
        <x:v>0.55</x:v>
      </x:c>
      <x:c r="F317" s="58" t="str">
        <x:v>Not specified</x:v>
      </x:c>
      <x:c r="G317" s="59" t="n">
        <x:v>0.15</x:v>
      </x:c>
      <x:c r="H317" s="58" t="str">
        <x:v>Different estimand; see verification</x:v>
      </x:c>
      <x:c r="I317" s="58" t="str">
        <x:v>Not reported</x:v>
      </x:c>
      <x:c r="J317" s="57" t="n">
        <x:v>1</x:v>
      </x:c>
      <x:c r="K317" s="34" t="n">
        <x:v>0</x:v>
      </x:c>
      <x:c r="L317" s="34" t="n">
        <x:f>J317*K317</x:f>
        <x:v>0</x:v>
      </x:c>
      <x:c r="M317" s="33" t="str">
        <x:v>Different estimand</x:v>
      </x:c>
      <x:c r="N317" s="35" t="str">
        <x:v>Paired between-arm differences in raw class proportion or log1p mass/richness change do not match the adjusted within-doxy logit-proportion time coefficient, baseline pooled prevalence/richness or all-sample categorized-dose anchors.</x:v>
      </x:c>
    </x:row>
    <x:row r="318" ht="48" customHeight="1">
      <x:c r="A318" s="40" t="str">
        <x:v>FR-0003</x:v>
      </x:c>
      <x:c r="B318" s="41" t="str">
        <x:v>STELLA</x:v>
      </x:c>
      <x:c r="C318" s="41" t="str">
        <x:v>A01</x:v>
      </x:c>
      <x:c r="D318" s="41" t="str">
        <x:v>Participants with all three target biopsies (baseline, weeks 24 and 52), both randomized arms</x:v>
      </x:c>
      <x:c r="E318" s="54" t="n">
        <x:v>20</x:v>
      </x:c>
      <x:c r="F318" s="55" t="str">
        <x:v>Not specified</x:v>
      </x:c>
      <x:c r="G318" s="54" t="n">
        <x:v>0</x:v>
      </x:c>
      <x:c r="H318" s="54" t="n">
        <x:v>20</x:v>
      </x:c>
      <x:c r="I318" s="55" t="str">
        <x:v>Not reported</x:v>
      </x:c>
      <x:c r="J318" s="54" t="n">
        <x:v>1</x:v>
      </x:c>
      <x:c r="K318" s="56" t="n">
        <x:v>1</x:v>
      </x:c>
      <x:c r="L318" s="56" t="n">
        <x:f>J318*K318</x:f>
        <x:v>1</x:v>
      </x:c>
      <x:c r="M318" s="41" t="str">
        <x:v>Comparable</x:v>
      </x:c>
      <x:c r="N318" s="41" t="str">
        <x:v>results and report explicitly state week24 paired n=20, matching exactly the reference patients with baseline/week24/week52 data (excluding 15 and 18).</x:v>
      </x:c>
    </x:row>
    <x:row r="319" ht="48" customHeight="1">
      <x:c r="A319" s="32" t="str">
        <x:v>FR-0003</x:v>
      </x:c>
      <x:c r="B319" s="33" t="str">
        <x:v>STELLA</x:v>
      </x:c>
      <x:c r="C319" s="33" t="str">
        <x:v>A02</x:v>
      </x:c>
      <x:c r="D319" s="33" t="str">
        <x:v>Biopsies from the 20 participants with all three target visits</x:v>
      </x:c>
      <x:c r="E319" s="57" t="n">
        <x:v>60</x:v>
      </x:c>
      <x:c r="F319" s="58" t="str">
        <x:v>Not specified</x:v>
      </x:c>
      <x:c r="G319" s="57" t="n">
        <x:v>0</x:v>
      </x:c>
      <x:c r="H319" s="58" t="str">
        <x:v>No corresponding executed estimate</x:v>
      </x:c>
      <x:c r="I319" s="58" t="str">
        <x:v>Not reported</x:v>
      </x:c>
      <x:c r="J319" s="57" t="n">
        <x:v>1</x:v>
      </x:c>
      <x:c r="K319" s="34" t="n">
        <x:v>0</x:v>
      </x:c>
      <x:c r="L319" s="34" t="n">
        <x:f>J319*K319</x:f>
        <x:v>0</x:v>
      </x:c>
      <x:c r="M319" s="33" t="str">
        <x:v>Not answered</x:v>
      </x:c>
      <x:c r="N319" s="35" t="str">
        <x:v>No explicit 60-biopsy fixed-complete-cohort total; analyses use 20 and 21 pairs by visit.</x:v>
      </x:c>
    </x:row>
    <x:row r="320" ht="54" customHeight="1">
      <x:c r="A320" s="32" t="str">
        <x:v>FR-0003</x:v>
      </x:c>
      <x:c r="B320" s="33" t="str">
        <x:v>STELLA</x:v>
      </x:c>
      <x:c r="C320" s="33" t="str">
        <x:v>A03</x:v>
      </x:c>
      <x:c r="D320" s="33" t="str">
        <x:v>ABMR probability: felzartamab minus placebo difference in group-median change from baseline to week 24, native scale</x:v>
      </x:c>
      <x:c r="E320" s="59" t="n">
        <x:v>-0.67</x:v>
      </x:c>
      <x:c r="F320" s="58" t="str">
        <x:v>Not specified</x:v>
      </x:c>
      <x:c r="G320" s="59" t="n">
        <x:v>0.35</x:v>
      </x:c>
      <x:c r="H320" s="58" t="str">
        <x:v>No corresponding executed estimate</x:v>
      </x:c>
      <x:c r="I320" s="58" t="str">
        <x:v>Not reported</x:v>
      </x:c>
      <x:c r="J320" s="57" t="n">
        <x:v>2</x:v>
      </x:c>
      <x:c r="K320" s="34" t="n">
        <x:v>0</x:v>
      </x:c>
      <x:c r="L320" s="34" t="n">
        <x:f>J320*K320</x:f>
        <x:v>0</x:v>
      </x:c>
      <x:c r="M320" s="33" t="str">
        <x:v>Different method</x:v>
      </x:c>
      <x:c r="N320" s="35" t="str">
        <x:v>Baseline-adjusted ANCOVA means and unadjusted mean individual changes differ from the required changes in arm medians.</x:v>
      </x:c>
    </x:row>
    <x:row r="321" ht="54" customHeight="1">
      <x:c r="A321" s="32" t="str">
        <x:v>FR-0003</x:v>
      </x:c>
      <x:c r="B321" s="33" t="str">
        <x:v>STELLA</x:v>
      </x:c>
      <x:c r="C321" s="33" t="str">
        <x:v>A04</x:v>
      </x:c>
      <x:c r="D321" s="33" t="str">
        <x:v>ABMR probability: felzartamab minus placebo difference in group-median change from week 24 to week 52, native scale</x:v>
      </x:c>
      <x:c r="E321" s="59" t="n">
        <x:v>0.79</x:v>
      </x:c>
      <x:c r="F321" s="58" t="str">
        <x:v>Not specified</x:v>
      </x:c>
      <x:c r="G321" s="59" t="n">
        <x:v>0.45</x:v>
      </x:c>
      <x:c r="H321" s="58" t="str">
        <x:v>Different estimand; see verification</x:v>
      </x:c>
      <x:c r="I321" s="58" t="str">
        <x:v>Not reported</x:v>
      </x:c>
      <x:c r="J321" s="57" t="n">
        <x:v>2</x:v>
      </x:c>
      <x:c r="K321" s="34" t="n">
        <x:v>0</x:v>
      </x:c>
      <x:c r="L321" s="34" t="n">
        <x:f>J321*K321</x:f>
        <x:v>0</x:v>
      </x:c>
      <x:c r="M321" s="33" t="str">
        <x:v>Different estimand</x:v>
      </x:c>
      <x:c r="N321" s="35" t="str">
        <x:v>Baseline-to-week52 effects and qualitative attenuation do not estimate the reference week24-to52 between-arm median-change contrast.</x:v>
      </x:c>
    </x:row>
    <x:row r="322" ht="54" customHeight="1">
      <x:c r="A322" s="32" t="str">
        <x:v>FR-0003</x:v>
      </x:c>
      <x:c r="B322" s="33" t="str">
        <x:v>STELLA</x:v>
      </x:c>
      <x:c r="C322" s="33" t="str">
        <x:v>A05</x:v>
      </x:c>
      <x:c r="D322" s="33" t="str">
        <x:v>NK cell burden: felzartamab minus placebo difference in group-median change from baseline to week 24, native scale</x:v>
      </x:c>
      <x:c r="E322" s="59" t="n">
        <x:v>-0.8</x:v>
      </x:c>
      <x:c r="F322" s="58" t="str">
        <x:v>Not specified</x:v>
      </x:c>
      <x:c r="G322" s="59" t="n">
        <x:v>0.36</x:v>
      </x:c>
      <x:c r="H322" s="58" t="str">
        <x:v>No corresponding executed estimate</x:v>
      </x:c>
      <x:c r="I322" s="58" t="str">
        <x:v>Not reported</x:v>
      </x:c>
      <x:c r="J322" s="57" t="n">
        <x:v>1</x:v>
      </x:c>
      <x:c r="K322" s="34" t="n">
        <x:v>0</x:v>
      </x:c>
      <x:c r="L322" s="34" t="n">
        <x:f>J322*K322</x:f>
        <x:v>0</x:v>
      </x:c>
      <x:c r="M322" s="33" t="str">
        <x:v>Different method</x:v>
      </x:c>
      <x:c r="N322" s="35" t="str">
        <x:v>Baseline-adjusted ANCOVA means and unadjusted mean individual changes differ from the required changes in arm medians.</x:v>
      </x:c>
    </x:row>
    <x:row r="323" ht="54" customHeight="1">
      <x:c r="A323" s="32" t="str">
        <x:v>FR-0003</x:v>
      </x:c>
      <x:c r="B323" s="33" t="str">
        <x:v>STELLA</x:v>
      </x:c>
      <x:c r="C323" s="33" t="str">
        <x:v>A06</x:v>
      </x:c>
      <x:c r="D323" s="33" t="str">
        <x:v>TCMR probability: felzartamab minus placebo difference in group-median change from baseline to week 24, native scale</x:v>
      </x:c>
      <x:c r="E323" s="59" t="n">
        <x:v>0.01</x:v>
      </x:c>
      <x:c r="F323" s="58" t="str">
        <x:v>Not specified</x:v>
      </x:c>
      <x:c r="G323" s="59" t="n">
        <x:v>0.05</x:v>
      </x:c>
      <x:c r="H323" s="58" t="str">
        <x:v>No corresponding executed estimate</x:v>
      </x:c>
      <x:c r="I323" s="58" t="str">
        <x:v>Not reported</x:v>
      </x:c>
      <x:c r="J323" s="57" t="n">
        <x:v>1</x:v>
      </x:c>
      <x:c r="K323" s="34" t="n">
        <x:v>0</x:v>
      </x:c>
      <x:c r="L323" s="34" t="n">
        <x:f>J323*K323</x:f>
        <x:v>0</x:v>
      </x:c>
      <x:c r="M323" s="33" t="str">
        <x:v>Different method</x:v>
      </x:c>
      <x:c r="N323" s="35" t="str">
        <x:v>Baseline-adjusted ANCOVA means and unadjusted mean individual changes differ from the required changes in arm medians.</x:v>
      </x:c>
    </x:row>
    <x:row r="324" ht="48" customHeight="1">
      <x:c r="A324" s="32" t="str">
        <x:v>FR-0003</x:v>
      </x:c>
      <x:c r="B324" s="33" t="str">
        <x:v>STELLA</x:v>
      </x:c>
      <x:c r="C324" s="33" t="str">
        <x:v>A07</x:v>
      </x:c>
      <x:c r="D324" s="33" t="str">
        <x:v>Injury-repair-associated score: felzartamab minus placebo annual linear-trajectory slope difference</x:v>
      </x:c>
      <x:c r="E324" s="59" t="n">
        <x:v>-0.6</x:v>
      </x:c>
      <x:c r="F324" s="58" t="str">
        <x:v>[-1.1, -0.1]</x:v>
      </x:c>
      <x:c r="G324" s="57" t="n">
        <x:v>1</x:v>
      </x:c>
      <x:c r="H324" s="58" t="str">
        <x:v>No corresponding executed estimate</x:v>
      </x:c>
      <x:c r="I324" s="58" t="str">
        <x:v>Not reported</x:v>
      </x:c>
      <x:c r="J324" s="57" t="n">
        <x:v>1</x:v>
      </x:c>
      <x:c r="K324" s="34" t="n">
        <x:v>0</x:v>
      </x:c>
      <x:c r="L324" s="34" t="n">
        <x:f>J324*K324</x:f>
        <x:v>0</x:v>
      </x:c>
      <x:c r="M324" s="33" t="str">
        <x:v>Different method</x:v>
      </x:c>
      <x:c r="N324" s="35" t="str">
        <x:v>Single-visit injury ANCOVA effects are not annual trajectory slope differences.</x:v>
      </x:c>
    </x:row>
    <x:row r="325" ht="48" customHeight="1">
      <x:c r="A325" s="32" t="str">
        <x:v>FR-0003</x:v>
      </x:c>
      <x:c r="B325" s="33" t="str">
        <x:v>STELLA</x:v>
      </x:c>
      <x:c r="C325" s="33" t="str">
        <x:v>A08</x:v>
      </x:c>
      <x:c r="D325" s="33" t="str">
        <x:v>Injury-repair day-3 score: felzartamab minus placebo annual linear-trajectory slope difference</x:v>
      </x:c>
      <x:c r="E325" s="59" t="n">
        <x:v>-0.2</x:v>
      </x:c>
      <x:c r="F325" s="58" t="str">
        <x:v>[-0.37, -0.02]</x:v>
      </x:c>
      <x:c r="G325" s="59" t="n">
        <x:v>0.35</x:v>
      </x:c>
      <x:c r="H325" s="58" t="str">
        <x:v>No corresponding executed estimate</x:v>
      </x:c>
      <x:c r="I325" s="58" t="str">
        <x:v>Not reported</x:v>
      </x:c>
      <x:c r="J325" s="57" t="n">
        <x:v>2</x:v>
      </x:c>
      <x:c r="K325" s="34" t="n">
        <x:v>0</x:v>
      </x:c>
      <x:c r="L325" s="34" t="n">
        <x:f>J325*K325</x:f>
        <x:v>0</x:v>
      </x:c>
      <x:c r="M325" s="33" t="str">
        <x:v>Different method</x:v>
      </x:c>
      <x:c r="N325" s="35" t="str">
        <x:v>Single-visit injury ANCOVA effects are not annual trajectory slope differences.</x:v>
      </x:c>
    </x:row>
    <x:row r="326" ht="48" customHeight="1">
      <x:c r="A326" s="32" t="str">
        <x:v>FR-0003</x:v>
      </x:c>
      <x:c r="B326" s="33" t="str">
        <x:v>STELLA</x:v>
      </x:c>
      <x:c r="C326" s="33" t="str">
        <x:v>A09</x:v>
      </x:c>
      <x:c r="D326" s="33" t="str">
        <x:v>Injury-repair day-5 score: felzartamab minus placebo annual linear-trajectory slope difference</x:v>
      </x:c>
      <x:c r="E326" s="59" t="n">
        <x:v>-0.23</x:v>
      </x:c>
      <x:c r="F326" s="58" t="str">
        <x:v>[-0.41, -0.05]</x:v>
      </x:c>
      <x:c r="G326" s="59" t="n">
        <x:v>0.36</x:v>
      </x:c>
      <x:c r="H326" s="58" t="str">
        <x:v>No corresponding executed estimate</x:v>
      </x:c>
      <x:c r="I326" s="58" t="str">
        <x:v>Not reported</x:v>
      </x:c>
      <x:c r="J326" s="57" t="n">
        <x:v>2</x:v>
      </x:c>
      <x:c r="K326" s="34" t="n">
        <x:v>0</x:v>
      </x:c>
      <x:c r="L326" s="34" t="n">
        <x:f>J326*K326</x:f>
        <x:v>0</x:v>
      </x:c>
      <x:c r="M326" s="33" t="str">
        <x:v>Different method</x:v>
      </x:c>
      <x:c r="N326" s="35" t="str">
        <x:v>Single-visit injury ANCOVA effects are not annual trajectory slope differences.</x:v>
      </x:c>
    </x:row>
    <x:row r="327" ht="54" customHeight="1">
      <x:c r="A327" s="32" t="str">
        <x:v>FR-0003</x:v>
      </x:c>
      <x:c r="B327" s="33" t="str">
        <x:v>STELLA</x:v>
      </x:c>
      <x:c r="C327" s="33" t="str">
        <x:v>A10</x:v>
      </x:c>
      <x:c r="D327" s="33" t="str">
        <x:v>CXCL11: baseline-to-week-24 difference in log fold change under the published limma design (each arm change divided by 2)</x:v>
      </x:c>
      <x:c r="E327" s="59" t="n">
        <x:v>-0.85</x:v>
      </x:c>
      <x:c r="F327" s="58" t="str">
        <x:v>Not specified</x:v>
      </x:c>
      <x:c r="G327" s="59" t="n">
        <x:v>0.2</x:v>
      </x:c>
      <x:c r="H327" s="58" t="str">
        <x:v>No corresponding executed estimate</x:v>
      </x:c>
      <x:c r="I327" s="58" t="str">
        <x:v>Not reported</x:v>
      </x:c>
      <x:c r="J327" s="57" t="n">
        <x:v>1</x:v>
      </x:c>
      <x:c r="K327" s="34" t="n">
        <x:v>0</x:v>
      </x:c>
      <x:c r="L327" s="34" t="n">
        <x:f>J327*K327</x:f>
        <x:v>0</x:v>
      </x:c>
      <x:c r="M327" s="33" t="str">
        <x:v>Not answered</x:v>
      </x:c>
      <x:c r="N327" s="35" t="str">
        <x:v>No corresponding executed reference estimand.</x:v>
      </x:c>
    </x:row>
    <x:row r="328" ht="54" customHeight="1">
      <x:c r="A328" s="32" t="str">
        <x:v>FR-0003</x:v>
      </x:c>
      <x:c r="B328" s="33" t="str">
        <x:v>STELLA</x:v>
      </x:c>
      <x:c r="C328" s="33" t="str">
        <x:v>A11</x:v>
      </x:c>
      <x:c r="D328" s="33" t="str">
        <x:v>Negatively enriched ABMR/immune pathways at FDR &lt;0.05 in the specified multi-database GSEA, baseline to week 24</x:v>
      </x:c>
      <x:c r="E328" s="57" t="n">
        <x:v>12</x:v>
      </x:c>
      <x:c r="F328" s="58" t="str">
        <x:v>Not specified</x:v>
      </x:c>
      <x:c r="G328" s="57" t="n">
        <x:v>1</x:v>
      </x:c>
      <x:c r="H328" s="58" t="str">
        <x:v>No corresponding executed estimate</x:v>
      </x:c>
      <x:c r="I328" s="58" t="str">
        <x:v>Not reported</x:v>
      </x:c>
      <x:c r="J328" s="57" t="n">
        <x:v>1</x:v>
      </x:c>
      <x:c r="K328" s="34" t="n">
        <x:v>0</x:v>
      </x:c>
      <x:c r="L328" s="34" t="n">
        <x:f>J328*K328</x:f>
        <x:v>0</x:v>
      </x:c>
      <x:c r="M328" s="33" t="str">
        <x:v>Not answered</x:v>
      </x:c>
      <x:c r="N328" s="35" t="str">
        <x:v>No corresponding executed reference estimand.</x:v>
      </x:c>
    </x:row>
    <x:row r="329" ht="54" customHeight="1">
      <x:c r="A329" s="32" t="str">
        <x:v>FR-0003</x:v>
      </x:c>
      <x:c r="B329" s="33" t="str">
        <x:v>STELLA</x:v>
      </x:c>
      <x:c r="C329" s="33" t="str">
        <x:v>A12</x:v>
      </x:c>
      <x:c r="D329" s="33" t="str">
        <x:v>Genes annotated as injury-induced and downregulated among the top 20 genes ranked by unadjusted P, baseline to week 52</x:v>
      </x:c>
      <x:c r="E329" s="57" t="n">
        <x:v>17</x:v>
      </x:c>
      <x:c r="F329" s="58" t="str">
        <x:v>Not specified</x:v>
      </x:c>
      <x:c r="G329" s="57" t="n">
        <x:v>1</x:v>
      </x:c>
      <x:c r="H329" s="58" t="str">
        <x:v>No corresponding executed estimate</x:v>
      </x:c>
      <x:c r="I329" s="58" t="str">
        <x:v>Not reported</x:v>
      </x:c>
      <x:c r="J329" s="57" t="n">
        <x:v>1</x:v>
      </x:c>
      <x:c r="K329" s="34" t="n">
        <x:v>0</x:v>
      </x:c>
      <x:c r="L329" s="34" t="n">
        <x:f>J329*K329</x:f>
        <x:v>0</x:v>
      </x:c>
      <x:c r="M329" s="33" t="str">
        <x:v>Not answered</x:v>
      </x:c>
      <x:c r="N329" s="35" t="str">
        <x:v>No corresponding executed reference estimand.</x:v>
      </x:c>
    </x:row>
    <x:row r="330" ht="67.5" customHeight="1">
      <x:c r="A330" s="40" t="str">
        <x:v>FR-0004</x:v>
      </x:c>
      <x:c r="B330" s="41" t="str">
        <x:v>STELLA</x:v>
      </x:c>
      <x:c r="C330" s="41" t="str">
        <x:v>A1</x:v>
      </x:c>
      <x:c r="D330" s="41" t="str">
        <x:v>adjusted difference in VF MD yearly slope (dB/year) per 1-SD higher basal PBMC OCR in the entire treated POAG cohort</x:v>
      </x:c>
      <x:c r="E330" s="60" t="n">
        <x:v>0.186</x:v>
      </x:c>
      <x:c r="F330" s="55" t="str">
        <x:v>[0.1174, 0.2546]</x:v>
      </x:c>
      <x:c r="G330" s="60" t="n">
        <x:v>0.1372</x:v>
      </x:c>
      <x:c r="H330" s="60" t="n">
        <x:v>0.165351296512736</x:v>
      </x:c>
      <x:c r="I330" s="55" t="str">
        <x:v>[0.09321151, 0.23749108]</x:v>
      </x:c>
      <x:c r="J330" s="54" t="n">
        <x:v>2</x:v>
      </x:c>
      <x:c r="K330" s="56" t="n">
        <x:v>1</x:v>
      </x:c>
      <x:c r="L330" s="56" t="n">
        <x:f>J330*K330</x:f>
        <x:v>2</x:v>
      </x:c>
      <x:c r="M330" s="41" t="str">
        <x:v>Comparable</x:v>
      </x:c>
      <x:c r="N330" s="41" t="str">
        <x:v>Verified adjusted full-cohort per-SD OCR-by-time slope contrast, point estimate inside reference CI and interval width within cap. OCR is standardized across the repeated long table; the reference also describes a cohort SD (basal about4.3). No evaluator rescaling is applied.</x:v>
      </x:c>
    </x:row>
    <x:row r="331" ht="48" customHeight="1">
      <x:c r="A331" s="32" t="str">
        <x:v>FR-0004</x:v>
      </x:c>
      <x:c r="B331" s="33" t="str">
        <x:v>STELLA</x:v>
      </x:c>
      <x:c r="C331" s="33" t="str">
        <x:v>A2</x:v>
      </x:c>
      <x:c r="D331" s="33" t="str">
        <x:v>adjusted difference in VF MD yearly slope (dB/year) per 1-SD higher basal PBMC OCR among NTG eyes</x:v>
      </x:c>
      <x:c r="E331" s="59" t="n">
        <x:v>0.176</x:v>
      </x:c>
      <x:c r="F331" s="58" t="str">
        <x:v>[0.08388, 0.26812]</x:v>
      </x:c>
      <x:c r="G331" s="59" t="n">
        <x:v>0.18424</x:v>
      </x:c>
      <x:c r="H331" s="58" t="str">
        <x:v>No corresponding executed estimate</x:v>
      </x:c>
      <x:c r="I331" s="58" t="str">
        <x:v>Not reported</x:v>
      </x:c>
      <x:c r="J331" s="57" t="n">
        <x:v>1</x:v>
      </x:c>
      <x:c r="K331" s="34" t="n">
        <x:v>0</x:v>
      </x:c>
      <x:c r="L331" s="34" t="n">
        <x:f>J331*K331</x:f>
        <x:v>0</x:v>
      </x:c>
      <x:c r="M331" s="33" t="str">
        <x:v>Not answered</x:v>
      </x:c>
      <x:c r="N331" s="35" t="str">
        <x:v>No NTG/HTG-specific basal-OCR adjusted slope contrasts are executed.</x:v>
      </x:c>
    </x:row>
    <x:row r="332" ht="48" customHeight="1">
      <x:c r="A332" s="32" t="str">
        <x:v>FR-0004</x:v>
      </x:c>
      <x:c r="B332" s="33" t="str">
        <x:v>STELLA</x:v>
      </x:c>
      <x:c r="C332" s="33" t="str">
        <x:v>A3</x:v>
      </x:c>
      <x:c r="D332" s="33" t="str">
        <x:v>adjusted difference in VF MD yearly slope (dB/year) per 1-SD higher basal PBMC OCR among HTG eyes</x:v>
      </x:c>
      <x:c r="E332" s="59" t="n">
        <x:v>0.197</x:v>
      </x:c>
      <x:c r="F332" s="58" t="str">
        <x:v>[0.07744, 0.31656]</x:v>
      </x:c>
      <x:c r="G332" s="59" t="n">
        <x:v>0.23912</x:v>
      </x:c>
      <x:c r="H332" s="58" t="str">
        <x:v>No corresponding executed estimate</x:v>
      </x:c>
      <x:c r="I332" s="58" t="str">
        <x:v>Not reported</x:v>
      </x:c>
      <x:c r="J332" s="57" t="n">
        <x:v>1</x:v>
      </x:c>
      <x:c r="K332" s="34" t="n">
        <x:v>0</x:v>
      </x:c>
      <x:c r="L332" s="34" t="n">
        <x:f>J332*K332</x:f>
        <x:v>0</x:v>
      </x:c>
      <x:c r="M332" s="33" t="str">
        <x:v>Not answered</x:v>
      </x:c>
      <x:c r="N332" s="35" t="str">
        <x:v>No NTG/HTG-specific basal-OCR adjusted slope contrasts are executed.</x:v>
      </x:c>
    </x:row>
    <x:row r="333" ht="67.5" customHeight="1">
      <x:c r="A333" s="32" t="str">
        <x:v>FR-0004</x:v>
      </x:c>
      <x:c r="B333" s="33" t="str">
        <x:v>STELLA</x:v>
      </x:c>
      <x:c r="C333" s="33" t="str">
        <x:v>A4</x:v>
      </x:c>
      <x:c r="D333" s="33" t="str">
        <x:v>adjusted difference in VF MD yearly slope (dB/year) per 1-SD higher ATP-linked PBMC OCR in the entire treated POAG cohort</x:v>
      </x:c>
      <x:c r="E333" s="59" t="n">
        <x:v>0.199</x:v>
      </x:c>
      <x:c r="F333" s="58" t="str">
        <x:v>[0.13236, 0.26564]</x:v>
      </x:c>
      <x:c r="G333" s="59" t="n">
        <x:v>0.13328</x:v>
      </x:c>
      <x:c r="H333" s="59" t="n">
        <x:v>0.177686390380126</x:v>
      </x:c>
      <x:c r="I333" s="58" t="str">
        <x:v>[0.10601428, 0.2493585]</x:v>
      </x:c>
      <x:c r="J333" s="57" t="n">
        <x:v>1</x:v>
      </x:c>
      <x:c r="K333" s="34" t="n">
        <x:v>1</x:v>
      </x:c>
      <x:c r="L333" s="34" t="n">
        <x:f>J333*K333</x:f>
        <x:v>1</x:v>
      </x:c>
      <x:c r="M333" s="33" t="str">
        <x:v>Comparable</x:v>
      </x:c>
      <x:c r="N333" s="35" t="str">
        <x:v>Verified adjusted full-cohort per-SD OCR-by-time slope contrast, point estimate inside reference CI and interval width within cap. OCR is standardized across the repeated long table; the reference also describes a cohort SD (basal about4.3). No evaluator rescaling is applied.</x:v>
      </x:c>
    </x:row>
    <x:row r="334" ht="67.5" customHeight="1">
      <x:c r="A334" s="32" t="str">
        <x:v>FR-0004</x:v>
      </x:c>
      <x:c r="B334" s="33" t="str">
        <x:v>STELLA</x:v>
      </x:c>
      <x:c r="C334" s="33" t="str">
        <x:v>A5</x:v>
      </x:c>
      <x:c r="D334" s="33" t="str">
        <x:v>adjusted difference in VF MD yearly slope (dB/year) per 1-SD higher maximal PBMC OCR in the entire treated POAG cohort</x:v>
      </x:c>
      <x:c r="E334" s="59" t="n">
        <x:v>0.123</x:v>
      </x:c>
      <x:c r="F334" s="58" t="str">
        <x:v>[0.05244, 0.19356]</x:v>
      </x:c>
      <x:c r="G334" s="59" t="n">
        <x:v>0.14112</x:v>
      </x:c>
      <x:c r="H334" s="59" t="n">
        <x:v>0.12023069558013</x:v>
      </x:c>
      <x:c r="I334" s="58" t="str">
        <x:v>[0.049893095, 0.1905683]</x:v>
      </x:c>
      <x:c r="J334" s="57" t="n">
        <x:v>1</x:v>
      </x:c>
      <x:c r="K334" s="34" t="n">
        <x:v>1</x:v>
      </x:c>
      <x:c r="L334" s="34" t="n">
        <x:f>J334*K334</x:f>
        <x:v>1</x:v>
      </x:c>
      <x:c r="M334" s="33" t="str">
        <x:v>Comparable</x:v>
      </x:c>
      <x:c r="N334" s="35" t="str">
        <x:v>Verified adjusted full-cohort per-SD OCR-by-time slope contrast, point estimate inside reference CI and interval width within cap. OCR is standardized across the repeated long table; the reference also describes a cohort SD (basal about4.3). No evaluator rescaling is applied.</x:v>
      </x:c>
    </x:row>
    <x:row r="335" ht="67.5" customHeight="1">
      <x:c r="A335" s="32" t="str">
        <x:v>FR-0004</x:v>
      </x:c>
      <x:c r="B335" s="33" t="str">
        <x:v>STELLA</x:v>
      </x:c>
      <x:c r="C335" s="33" t="str">
        <x:v>A6</x:v>
      </x:c>
      <x:c r="D335" s="33" t="str">
        <x:v>adjusted difference in VF MD yearly slope (dB/year) per 1-SD higher PBMC reserve capacity in the entire treated POAG cohort</x:v>
      </x:c>
      <x:c r="E335" s="59" t="n">
        <x:v>0.108</x:v>
      </x:c>
      <x:c r="F335" s="58" t="str">
        <x:v>[0.03744, 0.17856]</x:v>
      </x:c>
      <x:c r="G335" s="59" t="n">
        <x:v>0.14112</x:v>
      </x:c>
      <x:c r="H335" s="59" t="n">
        <x:v>0.107436614560948</x:v>
      </x:c>
      <x:c r="I335" s="58" t="str">
        <x:v>[0.036204239, 0.17866899]</x:v>
      </x:c>
      <x:c r="J335" s="57" t="n">
        <x:v>1</x:v>
      </x:c>
      <x:c r="K335" s="34" t="n">
        <x:v>1</x:v>
      </x:c>
      <x:c r="L335" s="34" t="n">
        <x:f>J335*K335</x:f>
        <x:v>1</x:v>
      </x:c>
      <x:c r="M335" s="33" t="str">
        <x:v>Comparable</x:v>
      </x:c>
      <x:c r="N335" s="35" t="str">
        <x:v>Verified adjusted full-cohort per-SD OCR-by-time slope contrast, point estimate inside reference CI and interval width within cap. OCR is standardized across the repeated long table; the reference also describes a cohort SD (basal about4.3). No evaluator rescaling is applied.</x:v>
      </x:c>
    </x:row>
    <x:row r="336" ht="48" customHeight="1">
      <x:c r="A336" s="40" t="str">
        <x:v>FR-0005</x:v>
      </x:c>
      <x:c r="B336" s="41" t="str">
        <x:v>STELLA</x:v>
      </x:c>
      <x:c r="C336" s="41" t="str">
        <x:v>A01</x:v>
      </x:c>
      <x:c r="D336" s="41" t="str">
        <x:v>Unique mother-child pairs in the infant cohort</x:v>
      </x:c>
      <x:c r="E336" s="54" t="n">
        <x:v>94</x:v>
      </x:c>
      <x:c r="F336" s="55" t="str">
        <x:v>Not specified</x:v>
      </x:c>
      <x:c r="G336" s="54" t="n">
        <x:v>0</x:v>
      </x:c>
      <x:c r="H336" s="55" t="str">
        <x:v>No corresponding executed estimate</x:v>
      </x:c>
      <x:c r="I336" s="55" t="str">
        <x:v>Not reported</x:v>
      </x:c>
      <x:c r="J336" s="54" t="n">
        <x:v>1</x:v>
      </x:c>
      <x:c r="K336" s="56" t="n">
        <x:v>0</x:v>
      </x:c>
      <x:c r="L336" s="56" t="n">
        <x:f>J336*K336</x:f>
        <x:v>0</x:v>
      </x:c>
      <x:c r="M336" s="41" t="str">
        <x:v>Not answered</x:v>
      </x:c>
      <x:c r="N336" s="41" t="str">
        <x:v>The run ends before any model response or scientific execution.</x:v>
      </x:c>
    </x:row>
    <x:row r="337" ht="48" customHeight="1">
      <x:c r="A337" s="32" t="str">
        <x:v>FR-0005</x:v>
      </x:c>
      <x:c r="B337" s="33" t="str">
        <x:v>STELLA</x:v>
      </x:c>
      <x:c r="C337" s="33" t="str">
        <x:v>A02</x:v>
      </x:c>
      <x:c r="D337" s="33" t="str">
        <x:v>Infants with new exposure after 6 months under the published serological rule</x:v>
      </x:c>
      <x:c r="E337" s="57" t="n">
        <x:v>22</x:v>
      </x:c>
      <x:c r="F337" s="58" t="str">
        <x:v>Not specified</x:v>
      </x:c>
      <x:c r="G337" s="57" t="n">
        <x:v>0</x:v>
      </x:c>
      <x:c r="H337" s="58" t="str">
        <x:v>No corresponding executed estimate</x:v>
      </x:c>
      <x:c r="I337" s="58" t="str">
        <x:v>Not reported</x:v>
      </x:c>
      <x:c r="J337" s="57" t="n">
        <x:v>1</x:v>
      </x:c>
      <x:c r="K337" s="34" t="n">
        <x:v>0</x:v>
      </x:c>
      <x:c r="L337" s="34" t="n">
        <x:f>J337*K337</x:f>
        <x:v>0</x:v>
      </x:c>
      <x:c r="M337" s="33" t="str">
        <x:v>Not answered</x:v>
      </x:c>
      <x:c r="N337" s="35" t="str">
        <x:v>The run ends before any model response or scientific execution.</x:v>
      </x:c>
    </x:row>
    <x:row r="338" ht="48" customHeight="1">
      <x:c r="A338" s="32" t="str">
        <x:v>FR-0005</x:v>
      </x:c>
      <x:c r="B338" s="33" t="str">
        <x:v>STELLA</x:v>
      </x:c>
      <x:c r="C338" s="33" t="str">
        <x:v>A03</x:v>
      </x:c>
      <x:c r="D338" s="33" t="str">
        <x:v>Proportion with new serological exposure from month 6 to months 9/10/11</x:v>
      </x:c>
      <x:c r="E338" s="59" t="n">
        <x:v>0.23</x:v>
      </x:c>
      <x:c r="F338" s="58" t="str">
        <x:v>Not specified</x:v>
      </x:c>
      <x:c r="G338" s="59" t="n">
        <x:v>0.05</x:v>
      </x:c>
      <x:c r="H338" s="58" t="str">
        <x:v>No corresponding executed estimate</x:v>
      </x:c>
      <x:c r="I338" s="58" t="str">
        <x:v>Not reported</x:v>
      </x:c>
      <x:c r="J338" s="57" t="n">
        <x:v>1</x:v>
      </x:c>
      <x:c r="K338" s="34" t="n">
        <x:v>0</x:v>
      </x:c>
      <x:c r="L338" s="34" t="n">
        <x:f>J338*K338</x:f>
        <x:v>0</x:v>
      </x:c>
      <x:c r="M338" s="33" t="str">
        <x:v>Not answered</x:v>
      </x:c>
      <x:c r="N338" s="35" t="str">
        <x:v>The run ends before any model response or scientific execution.</x:v>
      </x:c>
    </x:row>
    <x:row r="339" ht="48" customHeight="1">
      <x:c r="A339" s="32" t="str">
        <x:v>FR-0005</x:v>
      </x:c>
      <x:c r="B339" s="33" t="str">
        <x:v>STELLA</x:v>
      </x:c>
      <x:c r="C339" s="33" t="str">
        <x:v>A04</x:v>
      </x:c>
      <x:c r="D339" s="33" t="str">
        <x:v>Participants in the SpyCATS baseline life-course IgG analysis</x:v>
      </x:c>
      <x:c r="E339" s="57" t="n">
        <x:v>413</x:v>
      </x:c>
      <x:c r="F339" s="58" t="str">
        <x:v>Not specified</x:v>
      </x:c>
      <x:c r="G339" s="57" t="n">
        <x:v>0</x:v>
      </x:c>
      <x:c r="H339" s="58" t="str">
        <x:v>No corresponding executed estimate</x:v>
      </x:c>
      <x:c r="I339" s="58" t="str">
        <x:v>Not reported</x:v>
      </x:c>
      <x:c r="J339" s="57" t="n">
        <x:v>1</x:v>
      </x:c>
      <x:c r="K339" s="34" t="n">
        <x:v>0</x:v>
      </x:c>
      <x:c r="L339" s="34" t="n">
        <x:f>J339*K339</x:f>
        <x:v>0</x:v>
      </x:c>
      <x:c r="M339" s="33" t="str">
        <x:v>Not answered</x:v>
      </x:c>
      <x:c r="N339" s="35" t="str">
        <x:v>The run ends before any model response or scientific execution.</x:v>
      </x:c>
    </x:row>
    <x:row r="340" ht="48" customHeight="1">
      <x:c r="A340" s="32" t="str">
        <x:v>FR-0005</x:v>
      </x:c>
      <x:c r="B340" s="33" t="str">
        <x:v>STELLA</x:v>
      </x:c>
      <x:c r="C340" s="33" t="str">
        <x:v>A05</x:v>
      </x:c>
      <x:c r="D340" s="33" t="str">
        <x:v>Minimum pairwise Pearson correlation among five antigen-specific IgG measures at baseline</x:v>
      </x:c>
      <x:c r="E340" s="59" t="n">
        <x:v>0.65</x:v>
      </x:c>
      <x:c r="F340" s="58" t="str">
        <x:v>Not specified</x:v>
      </x:c>
      <x:c r="G340" s="59" t="n">
        <x:v>0.1</x:v>
      </x:c>
      <x:c r="H340" s="58" t="str">
        <x:v>No corresponding executed estimate</x:v>
      </x:c>
      <x:c r="I340" s="58" t="str">
        <x:v>Not reported</x:v>
      </x:c>
      <x:c r="J340" s="57" t="n">
        <x:v>1</x:v>
      </x:c>
      <x:c r="K340" s="34" t="n">
        <x:v>0</x:v>
      </x:c>
      <x:c r="L340" s="34" t="n">
        <x:f>J340*K340</x:f>
        <x:v>0</x:v>
      </x:c>
      <x:c r="M340" s="33" t="str">
        <x:v>Not answered</x:v>
      </x:c>
      <x:c r="N340" s="35" t="str">
        <x:v>The run ends before any model response or scientific execution.</x:v>
      </x:c>
    </x:row>
    <x:row r="341" ht="48" customHeight="1">
      <x:c r="A341" s="32" t="str">
        <x:v>FR-0005</x:v>
      </x:c>
      <x:c r="B341" s="33" t="str">
        <x:v>STELLA</x:v>
      </x:c>
      <x:c r="C341" s="33" t="str">
        <x:v>A06</x:v>
      </x:c>
      <x:c r="D341" s="33" t="str">
        <x:v>Maximum pairwise Pearson correlation among five antigen-specific IgG measures at baseline</x:v>
      </x:c>
      <x:c r="E341" s="59" t="n">
        <x:v>0.86</x:v>
      </x:c>
      <x:c r="F341" s="58" t="str">
        <x:v>Not specified</x:v>
      </x:c>
      <x:c r="G341" s="59" t="n">
        <x:v>0.1</x:v>
      </x:c>
      <x:c r="H341" s="58" t="str">
        <x:v>No corresponding executed estimate</x:v>
      </x:c>
      <x:c r="I341" s="58" t="str">
        <x:v>Not reported</x:v>
      </x:c>
      <x:c r="J341" s="57" t="n">
        <x:v>1</x:v>
      </x:c>
      <x:c r="K341" s="34" t="n">
        <x:v>0</x:v>
      </x:c>
      <x:c r="L341" s="34" t="n">
        <x:f>J341*K341</x:f>
        <x:v>0</x:v>
      </x:c>
      <x:c r="M341" s="33" t="str">
        <x:v>Not answered</x:v>
      </x:c>
      <x:c r="N341" s="35" t="str">
        <x:v>The run ends before any model response or scientific execution.</x:v>
      </x:c>
    </x:row>
    <x:row r="342" ht="48" customHeight="1">
      <x:c r="A342" s="32" t="str">
        <x:v>FR-0005</x:v>
      </x:c>
      <x:c r="B342" s="33" t="str">
        <x:v>STELLA</x:v>
      </x:c>
      <x:c r="C342" s="33" t="str">
        <x:v>A07</x:v>
      </x:c>
      <x:c r="D342" s="33" t="str">
        <x:v>Culture-confirmed events with paired pre-event and post-event IgG</x:v>
      </x:c>
      <x:c r="E342" s="57" t="n">
        <x:v>150</x:v>
      </x:c>
      <x:c r="F342" s="58" t="str">
        <x:v>Not specified</x:v>
      </x:c>
      <x:c r="G342" s="57" t="n">
        <x:v>0</x:v>
      </x:c>
      <x:c r="H342" s="58" t="str">
        <x:v>No corresponding executed estimate</x:v>
      </x:c>
      <x:c r="I342" s="58" t="str">
        <x:v>Not reported</x:v>
      </x:c>
      <x:c r="J342" s="57" t="n">
        <x:v>1</x:v>
      </x:c>
      <x:c r="K342" s="34" t="n">
        <x:v>0</x:v>
      </x:c>
      <x:c r="L342" s="34" t="n">
        <x:f>J342*K342</x:f>
        <x:v>0</x:v>
      </x:c>
      <x:c r="M342" s="33" t="str">
        <x:v>Not answered</x:v>
      </x:c>
      <x:c r="N342" s="35" t="str">
        <x:v>The run ends before any model response or scientific execution.</x:v>
      </x:c>
    </x:row>
    <x:row r="343" ht="48" customHeight="1">
      <x:c r="A343" s="32" t="str">
        <x:v>FR-0005</x:v>
      </x:c>
      <x:c r="B343" s="33" t="str">
        <x:v>STELLA</x:v>
      </x:c>
      <x:c r="C343" s="33" t="str">
        <x:v>A08</x:v>
      </x:c>
      <x:c r="D343" s="33" t="str">
        <x:v>Minimum mean post-event log10 IgG increase across five antigens (log10 RLU/mL)</x:v>
      </x:c>
      <x:c r="E343" s="59" t="n">
        <x:v>0.1</x:v>
      </x:c>
      <x:c r="F343" s="58" t="str">
        <x:v>Not specified</x:v>
      </x:c>
      <x:c r="G343" s="59" t="n">
        <x:v>0.05</x:v>
      </x:c>
      <x:c r="H343" s="58" t="str">
        <x:v>No corresponding executed estimate</x:v>
      </x:c>
      <x:c r="I343" s="58" t="str">
        <x:v>Not reported</x:v>
      </x:c>
      <x:c r="J343" s="57" t="n">
        <x:v>1</x:v>
      </x:c>
      <x:c r="K343" s="34" t="n">
        <x:v>0</x:v>
      </x:c>
      <x:c r="L343" s="34" t="n">
        <x:f>J343*K343</x:f>
        <x:v>0</x:v>
      </x:c>
      <x:c r="M343" s="33" t="str">
        <x:v>Not answered</x:v>
      </x:c>
      <x:c r="N343" s="35" t="str">
        <x:v>The run ends before any model response or scientific execution.</x:v>
      </x:c>
    </x:row>
    <x:row r="344" ht="48" customHeight="1">
      <x:c r="A344" s="32" t="str">
        <x:v>FR-0005</x:v>
      </x:c>
      <x:c r="B344" s="33" t="str">
        <x:v>STELLA</x:v>
      </x:c>
      <x:c r="C344" s="33" t="str">
        <x:v>A09</x:v>
      </x:c>
      <x:c r="D344" s="33" t="str">
        <x:v>Maximum mean post-event log10 IgG increase across five antigens (log10 RLU/mL)</x:v>
      </x:c>
      <x:c r="E344" s="59" t="n">
        <x:v>0.19</x:v>
      </x:c>
      <x:c r="F344" s="58" t="str">
        <x:v>Not specified</x:v>
      </x:c>
      <x:c r="G344" s="59" t="n">
        <x:v>0.05</x:v>
      </x:c>
      <x:c r="H344" s="58" t="str">
        <x:v>No corresponding executed estimate</x:v>
      </x:c>
      <x:c r="I344" s="58" t="str">
        <x:v>Not reported</x:v>
      </x:c>
      <x:c r="J344" s="57" t="n">
        <x:v>1</x:v>
      </x:c>
      <x:c r="K344" s="34" t="n">
        <x:v>0</x:v>
      </x:c>
      <x:c r="L344" s="34" t="n">
        <x:f>J344*K344</x:f>
        <x:v>0</x:v>
      </x:c>
      <x:c r="M344" s="33" t="str">
        <x:v>Not answered</x:v>
      </x:c>
      <x:c r="N344" s="35" t="str">
        <x:v>The run ends before any model response or scientific execution.</x:v>
      </x:c>
    </x:row>
    <x:row r="345" ht="48" customHeight="1">
      <x:c r="A345" s="32" t="str">
        <x:v>FR-0005</x:v>
      </x:c>
      <x:c r="B345" s="33" t="str">
        <x:v>STELLA</x:v>
      </x:c>
      <x:c r="C345" s="33" t="str">
        <x:v>A10</x:v>
      </x:c>
      <x:c r="D345" s="33" t="str">
        <x:v>Minimum difference in post-event log10 IgG increase, age &lt;2 years minus adults, across five antigens</x:v>
      </x:c>
      <x:c r="E345" s="59" t="n">
        <x:v>0.25</x:v>
      </x:c>
      <x:c r="F345" s="58" t="str">
        <x:v>Not specified</x:v>
      </x:c>
      <x:c r="G345" s="59" t="n">
        <x:v>0.1</x:v>
      </x:c>
      <x:c r="H345" s="58" t="str">
        <x:v>No corresponding executed estimate</x:v>
      </x:c>
      <x:c r="I345" s="58" t="str">
        <x:v>Not reported</x:v>
      </x:c>
      <x:c r="J345" s="57" t="n">
        <x:v>1</x:v>
      </x:c>
      <x:c r="K345" s="34" t="n">
        <x:v>0</x:v>
      </x:c>
      <x:c r="L345" s="34" t="n">
        <x:f>J345*K345</x:f>
        <x:v>0</x:v>
      </x:c>
      <x:c r="M345" s="33" t="str">
        <x:v>Not answered</x:v>
      </x:c>
      <x:c r="N345" s="35" t="str">
        <x:v>The run ends before any model response or scientific execution.</x:v>
      </x:c>
    </x:row>
    <x:row r="346" ht="48" customHeight="1">
      <x:c r="A346" s="32" t="str">
        <x:v>FR-0005</x:v>
      </x:c>
      <x:c r="B346" s="33" t="str">
        <x:v>STELLA</x:v>
      </x:c>
      <x:c r="C346" s="33" t="str">
        <x:v>A11</x:v>
      </x:c>
      <x:c r="D346" s="33" t="str">
        <x:v>Maximum difference in post-event log10 IgG increase, age &lt;2 years minus adults, across five antigens</x:v>
      </x:c>
      <x:c r="E346" s="59" t="n">
        <x:v>0.54</x:v>
      </x:c>
      <x:c r="F346" s="58" t="str">
        <x:v>Not specified</x:v>
      </x:c>
      <x:c r="G346" s="59" t="n">
        <x:v>0.1</x:v>
      </x:c>
      <x:c r="H346" s="58" t="str">
        <x:v>No corresponding executed estimate</x:v>
      </x:c>
      <x:c r="I346" s="58" t="str">
        <x:v>Not reported</x:v>
      </x:c>
      <x:c r="J346" s="57" t="n">
        <x:v>1</x:v>
      </x:c>
      <x:c r="K346" s="34" t="n">
        <x:v>0</x:v>
      </x:c>
      <x:c r="L346" s="34" t="n">
        <x:f>J346*K346</x:f>
        <x:v>0</x:v>
      </x:c>
      <x:c r="M346" s="33" t="str">
        <x:v>Not answered</x:v>
      </x:c>
      <x:c r="N346" s="35" t="str">
        <x:v>The run ends before any model response or scientific execution.</x:v>
      </x:c>
    </x:row>
    <x:row r="347" ht="48" customHeight="1">
      <x:c r="A347" s="32" t="str">
        <x:v>FR-0005</x:v>
      </x:c>
      <x:c r="B347" s="33" t="str">
        <x:v>STELLA</x:v>
      </x:c>
      <x:c r="C347" s="33" t="str">
        <x:v>A12</x:v>
      </x:c>
      <x:c r="D347" s="33" t="str">
        <x:v>Unique participant-IgG measurement timepoints in the protection analysis</x:v>
      </x:c>
      <x:c r="E347" s="57" t="n">
        <x:v>1987</x:v>
      </x:c>
      <x:c r="F347" s="58" t="str">
        <x:v>Not specified</x:v>
      </x:c>
      <x:c r="G347" s="57" t="n">
        <x:v>0</x:v>
      </x:c>
      <x:c r="H347" s="58" t="str">
        <x:v>No corresponding executed estimate</x:v>
      </x:c>
      <x:c r="I347" s="58" t="str">
        <x:v>Not reported</x:v>
      </x:c>
      <x:c r="J347" s="57" t="n">
        <x:v>1</x:v>
      </x:c>
      <x:c r="K347" s="34" t="n">
        <x:v>0</x:v>
      </x:c>
      <x:c r="L347" s="34" t="n">
        <x:f>J347*K347</x:f>
        <x:v>0</x:v>
      </x:c>
      <x:c r="M347" s="33" t="str">
        <x:v>Not answered</x:v>
      </x:c>
      <x:c r="N347" s="35" t="str">
        <x:v>The run ends before any model response or scientific execution.</x:v>
      </x:c>
    </x:row>
    <x:row r="348" ht="48" customHeight="1">
      <x:c r="A348" s="32" t="str">
        <x:v>FR-0005</x:v>
      </x:c>
      <x:c r="B348" s="33" t="str">
        <x:v>STELLA</x:v>
      </x:c>
      <x:c r="C348" s="33" t="str">
        <x:v>A13</x:v>
      </x:c>
      <x:c r="D348" s="33" t="str">
        <x:v>Participants with at least one IgG measurement in the protection analysis</x:v>
      </x:c>
      <x:c r="E348" s="57" t="n">
        <x:v>431</x:v>
      </x:c>
      <x:c r="F348" s="58" t="str">
        <x:v>Not specified</x:v>
      </x:c>
      <x:c r="G348" s="57" t="n">
        <x:v>0</x:v>
      </x:c>
      <x:c r="H348" s="58" t="str">
        <x:v>No corresponding executed estimate</x:v>
      </x:c>
      <x:c r="I348" s="58" t="str">
        <x:v>Not reported</x:v>
      </x:c>
      <x:c r="J348" s="57" t="n">
        <x:v>1</x:v>
      </x:c>
      <x:c r="K348" s="34" t="n">
        <x:v>0</x:v>
      </x:c>
      <x:c r="L348" s="34" t="n">
        <x:f>J348*K348</x:f>
        <x:v>0</x:v>
      </x:c>
      <x:c r="M348" s="33" t="str">
        <x:v>Not answered</x:v>
      </x:c>
      <x:c r="N348" s="35" t="str">
        <x:v>The run ends before any model response or scientific execution.</x:v>
      </x:c>
    </x:row>
    <x:row r="349" ht="48" customHeight="1">
      <x:c r="A349" s="32" t="str">
        <x:v>FR-0005</x:v>
      </x:c>
      <x:c r="B349" s="33" t="str">
        <x:v>STELLA</x:v>
      </x:c>
      <x:c r="C349" s="33" t="str">
        <x:v>A15</x:v>
      </x:c>
      <x:c r="D349" s="33" t="str">
        <x:v>Follow-up records in the 45-day event-probability analysis</x:v>
      </x:c>
      <x:c r="E349" s="57" t="n">
        <x:v>4677</x:v>
      </x:c>
      <x:c r="F349" s="58" t="str">
        <x:v>Not specified</x:v>
      </x:c>
      <x:c r="G349" s="57" t="n">
        <x:v>0</x:v>
      </x:c>
      <x:c r="H349" s="58" t="str">
        <x:v>No corresponding executed estimate</x:v>
      </x:c>
      <x:c r="I349" s="58" t="str">
        <x:v>Not reported</x:v>
      </x:c>
      <x:c r="J349" s="57" t="n">
        <x:v>1</x:v>
      </x:c>
      <x:c r="K349" s="34" t="n">
        <x:v>0</x:v>
      </x:c>
      <x:c r="L349" s="34" t="n">
        <x:f>J349*K349</x:f>
        <x:v>0</x:v>
      </x:c>
      <x:c r="M349" s="33" t="str">
        <x:v>Not answered</x:v>
      </x:c>
      <x:c r="N349" s="35" t="str">
        <x:v>The run ends before any model response or scientific execution.</x:v>
      </x:c>
    </x:row>
    <x:row r="350" ht="54" customHeight="1">
      <x:c r="A350" s="32" t="str">
        <x:v>FR-0005</x:v>
      </x:c>
      <x:c r="B350" s="33" t="str">
        <x:v>STELLA</x:v>
      </x:c>
      <x:c r="C350" s="33" t="str">
        <x:v>A16</x:v>
      </x:c>
      <x:c r="D350" s="33" t="str">
        <x:v>SpyCEP: OR for any culture-confirmed event within 45 days per 1 log10 RLU/mL higher IgG in the unsegmented model</x:v>
      </x:c>
      <x:c r="E350" s="59" t="n">
        <x:v>0.68</x:v>
      </x:c>
      <x:c r="F350" s="58" t="str">
        <x:v>[0.5, 0.92]</x:v>
      </x:c>
      <x:c r="G350" s="59" t="n">
        <x:v>0.42</x:v>
      </x:c>
      <x:c r="H350" s="58" t="str">
        <x:v>No corresponding executed estimate</x:v>
      </x:c>
      <x:c r="I350" s="58" t="str">
        <x:v>Not reported</x:v>
      </x:c>
      <x:c r="J350" s="57" t="n">
        <x:v>1</x:v>
      </x:c>
      <x:c r="K350" s="34" t="n">
        <x:v>0</x:v>
      </x:c>
      <x:c r="L350" s="34" t="n">
        <x:f>J350*K350</x:f>
        <x:v>0</x:v>
      </x:c>
      <x:c r="M350" s="33" t="str">
        <x:v>Not answered</x:v>
      </x:c>
      <x:c r="N350" s="35" t="str">
        <x:v>The run ends before any model response or scientific execution.</x:v>
      </x:c>
    </x:row>
    <x:row r="351" ht="48" customHeight="1">
      <x:c r="A351" s="32" t="str">
        <x:v>FR-0005</x:v>
      </x:c>
      <x:c r="B351" s="33" t="str">
        <x:v>STELLA</x:v>
      </x:c>
      <x:c r="C351" s="33" t="str">
        <x:v>A17</x:v>
      </x:c>
      <x:c r="D351" s="33" t="str">
        <x:v>SLO: OR for any culture-confirmed event within 45 days per 1 log10 RLU/mL above the breakpoint</x:v>
      </x:c>
      <x:c r="E351" s="59" t="n">
        <x:v>0.06</x:v>
      </x:c>
      <x:c r="F351" s="58" t="str">
        <x:v>[0.01, 0.49]</x:v>
      </x:c>
      <x:c r="G351" s="59" t="n">
        <x:v>0.48</x:v>
      </x:c>
      <x:c r="H351" s="58" t="str">
        <x:v>No corresponding executed estimate</x:v>
      </x:c>
      <x:c r="I351" s="58" t="str">
        <x:v>Not reported</x:v>
      </x:c>
      <x:c r="J351" s="57" t="n">
        <x:v>2</x:v>
      </x:c>
      <x:c r="K351" s="34" t="n">
        <x:v>0</x:v>
      </x:c>
      <x:c r="L351" s="34" t="n">
        <x:f>J351*K351</x:f>
        <x:v>0</x:v>
      </x:c>
      <x:c r="M351" s="33" t="str">
        <x:v>Not answered</x:v>
      </x:c>
      <x:c r="N351" s="35" t="str">
        <x:v>The run ends before any model response or scientific execution.</x:v>
      </x:c>
    </x:row>
    <x:row r="352" ht="48" customHeight="1">
      <x:c r="A352" s="32" t="str">
        <x:v>FR-0005</x:v>
      </x:c>
      <x:c r="B352" s="33" t="str">
        <x:v>STELLA</x:v>
      </x:c>
      <x:c r="C352" s="33" t="str">
        <x:v>A18</x:v>
      </x:c>
      <x:c r="D352" s="33" t="str">
        <x:v>SpyAD: OR for any culture-confirmed event within 45 days per 1 log10 RLU/mL above the breakpoint</x:v>
      </x:c>
      <x:c r="E352" s="59" t="n">
        <x:v>0.34</x:v>
      </x:c>
      <x:c r="F352" s="58" t="str">
        <x:v>[0.15, 0.77]</x:v>
      </x:c>
      <x:c r="G352" s="59" t="n">
        <x:v>0.62</x:v>
      </x:c>
      <x:c r="H352" s="58" t="str">
        <x:v>No corresponding executed estimate</x:v>
      </x:c>
      <x:c r="I352" s="58" t="str">
        <x:v>Not reported</x:v>
      </x:c>
      <x:c r="J352" s="57" t="n">
        <x:v>2</x:v>
      </x:c>
      <x:c r="K352" s="34" t="n">
        <x:v>0</x:v>
      </x:c>
      <x:c r="L352" s="34" t="n">
        <x:f>J352*K352</x:f>
        <x:v>0</x:v>
      </x:c>
      <x:c r="M352" s="33" t="str">
        <x:v>Not answered</x:v>
      </x:c>
      <x:c r="N352" s="35" t="str">
        <x:v>The run ends before any model response or scientific execution.</x:v>
      </x:c>
    </x:row>
    <x:row r="353" ht="48" customHeight="1">
      <x:c r="A353" s="32" t="str">
        <x:v>FR-0005</x:v>
      </x:c>
      <x:c r="B353" s="33" t="str">
        <x:v>STELLA</x:v>
      </x:c>
      <x:c r="C353" s="33" t="str">
        <x:v>A19</x:v>
      </x:c>
      <x:c r="D353" s="33" t="str">
        <x:v>SpyCEP: OR for any culture-confirmed event within 45 days per 1 log10 RLU/mL above the breakpoint</x:v>
      </x:c>
      <x:c r="E353" s="59" t="n">
        <x:v>0.25</x:v>
      </x:c>
      <x:c r="F353" s="58" t="str">
        <x:v>[0.09, 0.68]</x:v>
      </x:c>
      <x:c r="G353" s="59" t="n">
        <x:v>0.59</x:v>
      </x:c>
      <x:c r="H353" s="58" t="str">
        <x:v>No corresponding executed estimate</x:v>
      </x:c>
      <x:c r="I353" s="58" t="str">
        <x:v>Not reported</x:v>
      </x:c>
      <x:c r="J353" s="57" t="n">
        <x:v>2</x:v>
      </x:c>
      <x:c r="K353" s="34" t="n">
        <x:v>0</x:v>
      </x:c>
      <x:c r="L353" s="34" t="n">
        <x:f>J353*K353</x:f>
        <x:v>0</x:v>
      </x:c>
      <x:c r="M353" s="33" t="str">
        <x:v>Not answered</x:v>
      </x:c>
      <x:c r="N353" s="35" t="str">
        <x:v>The run ends before any model response or scientific execution.</x:v>
      </x:c>
    </x:row>
    <x:row r="354" ht="48" customHeight="1">
      <x:c r="A354" s="32" t="str">
        <x:v>FR-0005</x:v>
      </x:c>
      <x:c r="B354" s="33" t="str">
        <x:v>STELLA</x:v>
      </x:c>
      <x:c r="C354" s="33" t="str">
        <x:v>A20</x:v>
      </x:c>
      <x:c r="D354" s="33" t="str">
        <x:v>SLO: putative 50% protective IgG threshold (RLU/mL)</x:v>
      </x:c>
      <x:c r="E354" s="57" t="n">
        <x:v>39209</x:v>
      </x:c>
      <x:c r="F354" s="58" t="str">
        <x:v>[34037, 45904]</x:v>
      </x:c>
      <x:c r="G354" s="57" t="n">
        <x:v>11867</x:v>
      </x:c>
      <x:c r="H354" s="58" t="str">
        <x:v>No corresponding executed estimate</x:v>
      </x:c>
      <x:c r="I354" s="58" t="str">
        <x:v>Not reported</x:v>
      </x:c>
      <x:c r="J354" s="57" t="n">
        <x:v>1</x:v>
      </x:c>
      <x:c r="K354" s="34" t="n">
        <x:v>0</x:v>
      </x:c>
      <x:c r="L354" s="34" t="n">
        <x:f>J354*K354</x:f>
        <x:v>0</x:v>
      </x:c>
      <x:c r="M354" s="33" t="str">
        <x:v>Not answered</x:v>
      </x:c>
      <x:c r="N354" s="35" t="str">
        <x:v>The run ends before any model response or scientific execution.</x:v>
      </x:c>
    </x:row>
    <x:row r="355" ht="48" customHeight="1">
      <x:c r="A355" s="32" t="str">
        <x:v>FR-0005</x:v>
      </x:c>
      <x:c r="B355" s="33" t="str">
        <x:v>STELLA</x:v>
      </x:c>
      <x:c r="C355" s="33" t="str">
        <x:v>A21</x:v>
      </x:c>
      <x:c r="D355" s="33" t="str">
        <x:v>SpyAD: putative 50% protective IgG threshold (RLU/mL)</x:v>
      </x:c>
      <x:c r="E355" s="57" t="n">
        <x:v>65454</x:v>
      </x:c>
      <x:c r="F355" s="58" t="str">
        <x:v>[54748, 89448]</x:v>
      </x:c>
      <x:c r="G355" s="57" t="n">
        <x:v>34700</x:v>
      </x:c>
      <x:c r="H355" s="58" t="str">
        <x:v>No corresponding executed estimate</x:v>
      </x:c>
      <x:c r="I355" s="58" t="str">
        <x:v>Not reported</x:v>
      </x:c>
      <x:c r="J355" s="57" t="n">
        <x:v>1</x:v>
      </x:c>
      <x:c r="K355" s="34" t="n">
        <x:v>0</x:v>
      </x:c>
      <x:c r="L355" s="34" t="n">
        <x:f>J355*K355</x:f>
        <x:v>0</x:v>
      </x:c>
      <x:c r="M355" s="33" t="str">
        <x:v>Not answered</x:v>
      </x:c>
      <x:c r="N355" s="35" t="str">
        <x:v>The run ends before any model response or scientific execution.</x:v>
      </x:c>
    </x:row>
    <x:row r="356" ht="48" customHeight="1">
      <x:c r="A356" s="32" t="str">
        <x:v>FR-0005</x:v>
      </x:c>
      <x:c r="B356" s="33" t="str">
        <x:v>STELLA</x:v>
      </x:c>
      <x:c r="C356" s="33" t="str">
        <x:v>A22</x:v>
      </x:c>
      <x:c r="D356" s="33" t="str">
        <x:v>SpyCEP: putative 50% protective IgG threshold (RLU/mL)</x:v>
      </x:c>
      <x:c r="E356" s="57" t="n">
        <x:v>70643</x:v>
      </x:c>
      <x:c r="F356" s="58" t="str">
        <x:v>[61509, 82577]</x:v>
      </x:c>
      <x:c r="G356" s="57" t="n">
        <x:v>21068</x:v>
      </x:c>
      <x:c r="H356" s="58" t="str">
        <x:v>No corresponding executed estimate</x:v>
      </x:c>
      <x:c r="I356" s="58" t="str">
        <x:v>Not reported</x:v>
      </x:c>
      <x:c r="J356" s="57" t="n">
        <x:v>1</x:v>
      </x:c>
      <x:c r="K356" s="34" t="n">
        <x:v>0</x:v>
      </x:c>
      <x:c r="L356" s="34" t="n">
        <x:f>J356*K356</x:f>
        <x:v>0</x:v>
      </x:c>
      <x:c r="M356" s="33" t="str">
        <x:v>Not answered</x:v>
      </x:c>
      <x:c r="N356" s="35" t="str">
        <x:v>The run ends before any model response or scientific execution.</x:v>
      </x:c>
    </x:row>
    <x:row r="357" ht="48" customHeight="1">
      <x:c r="A357" s="32" t="str">
        <x:v>FR-0005</x:v>
      </x:c>
      <x:c r="B357" s="33" t="str">
        <x:v>STELLA</x:v>
      </x:c>
      <x:c r="C357" s="33" t="str">
        <x:v>A23</x:v>
      </x:c>
      <x:c r="D357" s="33" t="str">
        <x:v>Participants with baseline IgG above the SLO 50% protective threshold</x:v>
      </x:c>
      <x:c r="E357" s="57" t="n">
        <x:v>44</x:v>
      </x:c>
      <x:c r="F357" s="58" t="str">
        <x:v>Not specified</x:v>
      </x:c>
      <x:c r="G357" s="57" t="n">
        <x:v>0</x:v>
      </x:c>
      <x:c r="H357" s="58" t="str">
        <x:v>No corresponding executed estimate</x:v>
      </x:c>
      <x:c r="I357" s="58" t="str">
        <x:v>Not reported</x:v>
      </x:c>
      <x:c r="J357" s="57" t="n">
        <x:v>1</x:v>
      </x:c>
      <x:c r="K357" s="34" t="n">
        <x:v>0</x:v>
      </x:c>
      <x:c r="L357" s="34" t="n">
        <x:f>J357*K357</x:f>
        <x:v>0</x:v>
      </x:c>
      <x:c r="M357" s="33" t="str">
        <x:v>Not answered</x:v>
      </x:c>
      <x:c r="N357" s="35" t="str">
        <x:v>The run ends before any model response or scientific execution.</x:v>
      </x:c>
    </x:row>
    <x:row r="358" ht="48" customHeight="1">
      <x:c r="A358" s="32" t="str">
        <x:v>FR-0005</x:v>
      </x:c>
      <x:c r="B358" s="33" t="str">
        <x:v>STELLA</x:v>
      </x:c>
      <x:c r="C358" s="33" t="str">
        <x:v>A24</x:v>
      </x:c>
      <x:c r="D358" s="33" t="str">
        <x:v>Participants with baseline IgG above the SpyAD 50% protective threshold</x:v>
      </x:c>
      <x:c r="E358" s="57" t="n">
        <x:v>43</x:v>
      </x:c>
      <x:c r="F358" s="58" t="str">
        <x:v>Not specified</x:v>
      </x:c>
      <x:c r="G358" s="57" t="n">
        <x:v>0</x:v>
      </x:c>
      <x:c r="H358" s="58" t="str">
        <x:v>No corresponding executed estimate</x:v>
      </x:c>
      <x:c r="I358" s="58" t="str">
        <x:v>Not reported</x:v>
      </x:c>
      <x:c r="J358" s="57" t="n">
        <x:v>1</x:v>
      </x:c>
      <x:c r="K358" s="34" t="n">
        <x:v>0</x:v>
      </x:c>
      <x:c r="L358" s="34" t="n">
        <x:f>J358*K358</x:f>
        <x:v>0</x:v>
      </x:c>
      <x:c r="M358" s="33" t="str">
        <x:v>Not answered</x:v>
      </x:c>
      <x:c r="N358" s="35" t="str">
        <x:v>The run ends before any model response or scientific execution.</x:v>
      </x:c>
    </x:row>
    <x:row r="359" ht="48" customHeight="1">
      <x:c r="A359" s="32" t="str">
        <x:v>FR-0005</x:v>
      </x:c>
      <x:c r="B359" s="33" t="str">
        <x:v>STELLA</x:v>
      </x:c>
      <x:c r="C359" s="33" t="str">
        <x:v>A25</x:v>
      </x:c>
      <x:c r="D359" s="33" t="str">
        <x:v>Participants with baseline IgG above the SpyCEP 50% protective threshold</x:v>
      </x:c>
      <x:c r="E359" s="57" t="n">
        <x:v>66</x:v>
      </x:c>
      <x:c r="F359" s="58" t="str">
        <x:v>Not specified</x:v>
      </x:c>
      <x:c r="G359" s="57" t="n">
        <x:v>0</x:v>
      </x:c>
      <x:c r="H359" s="58" t="str">
        <x:v>No corresponding executed estimate</x:v>
      </x:c>
      <x:c r="I359" s="58" t="str">
        <x:v>Not reported</x:v>
      </x:c>
      <x:c r="J359" s="57" t="n">
        <x:v>1</x:v>
      </x:c>
      <x:c r="K359" s="34" t="n">
        <x:v>0</x:v>
      </x:c>
      <x:c r="L359" s="34" t="n">
        <x:f>J359*K359</x:f>
        <x:v>0</x:v>
      </x:c>
      <x:c r="M359" s="33" t="str">
        <x:v>Not answered</x:v>
      </x:c>
      <x:c r="N359" s="35" t="str">
        <x:v>The run ends before any model response or scientific execution.</x:v>
      </x:c>
    </x:row>
    <x:row r="360" ht="48" customHeight="1">
      <x:c r="A360" s="32" t="str">
        <x:v>FR-0005</x:v>
      </x:c>
      <x:c r="B360" s="33" t="str">
        <x:v>STELLA</x:v>
      </x:c>
      <x:c r="C360" s="33" t="str">
        <x:v>A26</x:v>
      </x:c>
      <x:c r="D360" s="33" t="str">
        <x:v>OR for a 45-day event with high responses to at least two versus one antigen at the 33% threshold</x:v>
      </x:c>
      <x:c r="E360" s="59" t="n">
        <x:v>0.47</x:v>
      </x:c>
      <x:c r="F360" s="58" t="str">
        <x:v>[0.25, 0.86]</x:v>
      </x:c>
      <x:c r="G360" s="59" t="n">
        <x:v>0.61</x:v>
      </x:c>
      <x:c r="H360" s="58" t="str">
        <x:v>No corresponding executed estimate</x:v>
      </x:c>
      <x:c r="I360" s="58" t="str">
        <x:v>Not reported</x:v>
      </x:c>
      <x:c r="J360" s="57" t="n">
        <x:v>1</x:v>
      </x:c>
      <x:c r="K360" s="34" t="n">
        <x:v>0</x:v>
      </x:c>
      <x:c r="L360" s="34" t="n">
        <x:f>J360*K360</x:f>
        <x:v>0</x:v>
      </x:c>
      <x:c r="M360" s="33" t="str">
        <x:v>Not answered</x:v>
      </x:c>
      <x:c r="N360" s="35" t="str">
        <x:v>The run ends before any model response or scientific execution.</x:v>
      </x:c>
    </x:row>
    <x:row r="361" ht="48" customHeight="1">
      <x:c r="A361" s="32" t="str">
        <x:v>FR-0005</x:v>
      </x:c>
      <x:c r="B361" s="33" t="str">
        <x:v>STELLA</x:v>
      </x:c>
      <x:c r="C361" s="33" t="str">
        <x:v>A27</x:v>
      </x:c>
      <x:c r="D361" s="33" t="str">
        <x:v>Any culture-confirmed events in the fully adjusted Andersen-Gill model</x:v>
      </x:c>
      <x:c r="E361" s="57" t="n">
        <x:v>165</x:v>
      </x:c>
      <x:c r="F361" s="58" t="str">
        <x:v>Not specified</x:v>
      </x:c>
      <x:c r="G361" s="57" t="n">
        <x:v>0</x:v>
      </x:c>
      <x:c r="H361" s="58" t="str">
        <x:v>No corresponding executed estimate</x:v>
      </x:c>
      <x:c r="I361" s="58" t="str">
        <x:v>Not reported</x:v>
      </x:c>
      <x:c r="J361" s="57" t="n">
        <x:v>1</x:v>
      </x:c>
      <x:c r="K361" s="34" t="n">
        <x:v>0</x:v>
      </x:c>
      <x:c r="L361" s="34" t="n">
        <x:f>J361*K361</x:f>
        <x:v>0</x:v>
      </x:c>
      <x:c r="M361" s="33" t="str">
        <x:v>Not answered</x:v>
      </x:c>
      <x:c r="N361" s="35" t="str">
        <x:v>The run ends before any model response or scientific execution.</x:v>
      </x:c>
    </x:row>
    <x:row r="362" ht="67.5" customHeight="1">
      <x:c r="A362" s="32" t="str">
        <x:v>FR-0005</x:v>
      </x:c>
      <x:c r="B362" s="33" t="str">
        <x:v>STELLA</x:v>
      </x:c>
      <x:c r="C362" s="33" t="str">
        <x:v>A28</x:v>
      </x:c>
      <x:c r="D362" s="33" t="str">
        <x:v>SLO: HR for any culture-confirmed event per 1 log10 IgG above the breakpoint, adjusted for age group, sex and household size with repeated/household clustering</x:v>
      </x:c>
      <x:c r="E362" s="59" t="n">
        <x:v>0.04</x:v>
      </x:c>
      <x:c r="F362" s="58" t="str">
        <x:v>[0.01, 0.23]</x:v>
      </x:c>
      <x:c r="G362" s="59" t="n">
        <x:v>0.22</x:v>
      </x:c>
      <x:c r="H362" s="58" t="str">
        <x:v>No corresponding executed estimate</x:v>
      </x:c>
      <x:c r="I362" s="58" t="str">
        <x:v>Not reported</x:v>
      </x:c>
      <x:c r="J362" s="57" t="n">
        <x:v>2</x:v>
      </x:c>
      <x:c r="K362" s="34" t="n">
        <x:v>0</x:v>
      </x:c>
      <x:c r="L362" s="34" t="n">
        <x:f>J362*K362</x:f>
        <x:v>0</x:v>
      </x:c>
      <x:c r="M362" s="33" t="str">
        <x:v>Not answered</x:v>
      </x:c>
      <x:c r="N362" s="35" t="str">
        <x:v>The run ends before any model response or scientific execution.</x:v>
      </x:c>
    </x:row>
    <x:row r="363" ht="54" customHeight="1">
      <x:c r="A363" s="32" t="str">
        <x:v>FR-0005</x:v>
      </x:c>
      <x:c r="B363" s="33" t="str">
        <x:v>STELLA</x:v>
      </x:c>
      <x:c r="C363" s="33" t="str">
        <x:v>A29</x:v>
      </x:c>
      <x:c r="D363" s="33" t="str">
        <x:v>SpyAD: HR for any culture-confirmed event per 1 log10 IgG above the breakpoint under the fully adjusted model</x:v>
      </x:c>
      <x:c r="E363" s="59" t="n">
        <x:v>0.29</x:v>
      </x:c>
      <x:c r="F363" s="58" t="str">
        <x:v>[0.16, 0.53]</x:v>
      </x:c>
      <x:c r="G363" s="59" t="n">
        <x:v>0.37</x:v>
      </x:c>
      <x:c r="H363" s="58" t="str">
        <x:v>No corresponding executed estimate</x:v>
      </x:c>
      <x:c r="I363" s="58" t="str">
        <x:v>Not reported</x:v>
      </x:c>
      <x:c r="J363" s="57" t="n">
        <x:v>2</x:v>
      </x:c>
      <x:c r="K363" s="34" t="n">
        <x:v>0</x:v>
      </x:c>
      <x:c r="L363" s="34" t="n">
        <x:f>J363*K363</x:f>
        <x:v>0</x:v>
      </x:c>
      <x:c r="M363" s="33" t="str">
        <x:v>Not answered</x:v>
      </x:c>
      <x:c r="N363" s="35" t="str">
        <x:v>The run ends before any model response or scientific execution.</x:v>
      </x:c>
    </x:row>
    <x:row r="364" ht="54" customHeight="1">
      <x:c r="A364" s="32" t="str">
        <x:v>FR-0005</x:v>
      </x:c>
      <x:c r="B364" s="33" t="str">
        <x:v>STELLA</x:v>
      </x:c>
      <x:c r="C364" s="33" t="str">
        <x:v>A30</x:v>
      </x:c>
      <x:c r="D364" s="33" t="str">
        <x:v>SpyCEP: HR for any culture-confirmed event per 1 log10 IgG above the breakpoint under the fully adjusted model</x:v>
      </x:c>
      <x:c r="E364" s="59" t="n">
        <x:v>0.38</x:v>
      </x:c>
      <x:c r="F364" s="58" t="str">
        <x:v>[0.16, 0.9]</x:v>
      </x:c>
      <x:c r="G364" s="59" t="n">
        <x:v>0.74</x:v>
      </x:c>
      <x:c r="H364" s="58" t="str">
        <x:v>No corresponding executed estimate</x:v>
      </x:c>
      <x:c r="I364" s="58" t="str">
        <x:v>Not reported</x:v>
      </x:c>
      <x:c r="J364" s="57" t="n">
        <x:v>2</x:v>
      </x:c>
      <x:c r="K364" s="34" t="n">
        <x:v>0</x:v>
      </x:c>
      <x:c r="L364" s="34" t="n">
        <x:f>J364*K364</x:f>
        <x:v>0</x:v>
      </x:c>
      <x:c r="M364" s="33" t="str">
        <x:v>Not answered</x:v>
      </x:c>
      <x:c r="N364" s="35" t="str">
        <x:v>The run ends before any model response or scientific execution.</x:v>
      </x:c>
    </x:row>
    <x:row r="365" ht="48" customHeight="1">
      <x:c r="A365" s="32" t="str">
        <x:v>FR-0005</x:v>
      </x:c>
      <x:c r="B365" s="33" t="str">
        <x:v>STELLA</x:v>
      </x:c>
      <x:c r="C365" s="33" t="str">
        <x:v>A31</x:v>
      </x:c>
      <x:c r="D365" s="33" t="str">
        <x:v>SLO: HR for culture-confirmed carriage in the fully adjusted Andersen-Gill model</x:v>
      </x:c>
      <x:c r="E365" s="59" t="n">
        <x:v>0.01</x:v>
      </x:c>
      <x:c r="F365" s="58" t="str">
        <x:v>[0, 0.13]</x:v>
      </x:c>
      <x:c r="G365" s="59" t="n">
        <x:v>0.13</x:v>
      </x:c>
      <x:c r="H365" s="58" t="str">
        <x:v>No corresponding executed estimate</x:v>
      </x:c>
      <x:c r="I365" s="58" t="str">
        <x:v>Not reported</x:v>
      </x:c>
      <x:c r="J365" s="57" t="n">
        <x:v>1</x:v>
      </x:c>
      <x:c r="K365" s="34" t="n">
        <x:v>0</x:v>
      </x:c>
      <x:c r="L365" s="34" t="n">
        <x:f>J365*K365</x:f>
        <x:v>0</x:v>
      </x:c>
      <x:c r="M365" s="33" t="str">
        <x:v>Not answered</x:v>
      </x:c>
      <x:c r="N365" s="35" t="str">
        <x:v>The run ends before any model response or scientific execution.</x:v>
      </x:c>
    </x:row>
    <x:row r="366" ht="48" customHeight="1">
      <x:c r="A366" s="32" t="str">
        <x:v>FR-0005</x:v>
      </x:c>
      <x:c r="B366" s="33" t="str">
        <x:v>STELLA</x:v>
      </x:c>
      <x:c r="C366" s="33" t="str">
        <x:v>A32</x:v>
      </x:c>
      <x:c r="D366" s="33" t="str">
        <x:v>SpyAD: HR for culture-confirmed carriage in the fully adjusted Andersen-Gill model</x:v>
      </x:c>
      <x:c r="E366" s="59" t="n">
        <x:v>0.18</x:v>
      </x:c>
      <x:c r="F366" s="58" t="str">
        <x:v>[0.08, 0.41]</x:v>
      </x:c>
      <x:c r="G366" s="59" t="n">
        <x:v>0.33</x:v>
      </x:c>
      <x:c r="H366" s="58" t="str">
        <x:v>No corresponding executed estimate</x:v>
      </x:c>
      <x:c r="I366" s="58" t="str">
        <x:v>Not reported</x:v>
      </x:c>
      <x:c r="J366" s="57" t="n">
        <x:v>1</x:v>
      </x:c>
      <x:c r="K366" s="34" t="n">
        <x:v>0</x:v>
      </x:c>
      <x:c r="L366" s="34" t="n">
        <x:f>J366*K366</x:f>
        <x:v>0</x:v>
      </x:c>
      <x:c r="M366" s="33" t="str">
        <x:v>Not answered</x:v>
      </x:c>
      <x:c r="N366" s="35" t="str">
        <x:v>The run ends before any model response or scientific execution.</x:v>
      </x:c>
    </x:row>
    <x:row r="367" ht="48" customHeight="1">
      <x:c r="A367" s="32" t="str">
        <x:v>FR-0005</x:v>
      </x:c>
      <x:c r="B367" s="33" t="str">
        <x:v>STELLA</x:v>
      </x:c>
      <x:c r="C367" s="33" t="str">
        <x:v>A33</x:v>
      </x:c>
      <x:c r="D367" s="33" t="str">
        <x:v>SpyCEP: HR for culture-confirmed carriage in the fully adjusted Andersen-Gill model</x:v>
      </x:c>
      <x:c r="E367" s="59" t="n">
        <x:v>0.2</x:v>
      </x:c>
      <x:c r="F367" s="58" t="str">
        <x:v>[0.09, 0.49]</x:v>
      </x:c>
      <x:c r="G367" s="59" t="n">
        <x:v>0.4</x:v>
      </x:c>
      <x:c r="H367" s="58" t="str">
        <x:v>No corresponding executed estimate</x:v>
      </x:c>
      <x:c r="I367" s="58" t="str">
        <x:v>Not reported</x:v>
      </x:c>
      <x:c r="J367" s="57" t="n">
        <x:v>1</x:v>
      </x:c>
      <x:c r="K367" s="34" t="n">
        <x:v>0</x:v>
      </x:c>
      <x:c r="L367" s="34" t="n">
        <x:f>J367*K367</x:f>
        <x:v>0</x:v>
      </x:c>
      <x:c r="M367" s="33" t="str">
        <x:v>Not answered</x:v>
      </x:c>
      <x:c r="N367" s="35" t="str">
        <x:v>The run ends before any model response or scientific execution.</x:v>
      </x:c>
    </x:row>
    <x:row r="368" ht="48" customHeight="1">
      <x:c r="A368" s="40" t="str">
        <x:v>FR-0001</x:v>
      </x:c>
      <x:c r="B368" s="41" t="str">
        <x:v>BioMedAgent</x:v>
      </x:c>
      <x:c r="C368" s="41" t="str">
        <x:v>A01</x:v>
      </x:c>
      <x:c r="D368" s="41" t="str">
        <x:v>Unique participants with CGM data in the public subset</x:v>
      </x:c>
      <x:c r="E368" s="54" t="n">
        <x:v>38</x:v>
      </x:c>
      <x:c r="F368" s="55" t="str">
        <x:v>Not specified</x:v>
      </x:c>
      <x:c r="G368" s="55" t="str">
        <x:v>Exact count</x:v>
      </x:c>
      <x:c r="H368" s="54" t="n">
        <x:v>38</x:v>
      </x:c>
      <x:c r="I368" s="55" t="str">
        <x:v>Not reported</x:v>
      </x:c>
      <x:c r="J368" s="54" t="n">
        <x:v>1</x:v>
      </x:c>
      <x:c r="K368" s="56" t="n">
        <x:v>1</x:v>
      </x:c>
      <x:c r="L368" s="56" t="n">
        <x:f>J368*K368</x:f>
        <x:v>1</x:v>
      </x:c>
      <x:c r="M368" s="41" t="str">
        <x:v>Comparable</x:v>
      </x:c>
      <x:c r="N368" s="41" t="str">
        <x:v>Executed results.json counts identify 38 eligible CGM participants and 393 seven-standard-meal curves.</x:v>
      </x:c>
    </x:row>
    <x:row r="369" ht="48" customHeight="1">
      <x:c r="A369" s="32" t="str">
        <x:v>FR-0001</x:v>
      </x:c>
      <x:c r="B369" s="33" t="str">
        <x:v>BioMedAgent</x:v>
      </x:c>
      <x:c r="C369" s="33" t="str">
        <x:v>A02</x:v>
      </x:c>
      <x:c r="D369" s="33" t="str">
        <x:v>Glucose-response curves for the seven unmitigated standard meals</x:v>
      </x:c>
      <x:c r="E369" s="57" t="n">
        <x:v>393</x:v>
      </x:c>
      <x:c r="F369" s="58" t="str">
        <x:v>Not specified</x:v>
      </x:c>
      <x:c r="G369" s="58" t="str">
        <x:v>Exact count</x:v>
      </x:c>
      <x:c r="H369" s="57" t="n">
        <x:v>393</x:v>
      </x:c>
      <x:c r="I369" s="58" t="str">
        <x:v>Not reported</x:v>
      </x:c>
      <x:c r="J369" s="57" t="n">
        <x:v>1</x:v>
      </x:c>
      <x:c r="K369" s="34" t="n">
        <x:v>1</x:v>
      </x:c>
      <x:c r="L369" s="34" t="n">
        <x:f>J369*K369</x:f>
        <x:v>1</x:v>
      </x:c>
      <x:c r="M369" s="33" t="str">
        <x:v>Comparable</x:v>
      </x:c>
      <x:c r="N369" s="35" t="str">
        <x:v>Executed results.json counts identify 38 eligible CGM participants and 393 seven-standard-meal curves.</x:v>
      </x:c>
    </x:row>
    <x:row r="370" ht="54" customHeight="1">
      <x:c r="A370" s="32" t="str">
        <x:v>FR-0001</x:v>
      </x:c>
      <x:c r="B370" s="33" t="str">
        <x:v>BioMedAgent</x:v>
      </x:c>
      <x:c r="C370" s="33" t="str">
        <x:v>A03</x:v>
      </x:c>
      <x:c r="D370" s="33" t="str">
        <x:v>Potatoes: Pearson correlation of first versus second peak glucose increment; paired participants, n=21</x:v>
      </x:c>
      <x:c r="E370" s="59" t="n">
        <x:v>0.6909911814</x:v>
      </x:c>
      <x:c r="F370" s="58" t="str">
        <x:v>[0.369533, 0.864735]</x:v>
      </x:c>
      <x:c r="G370" s="59" t="n">
        <x:v>0.4952016496</x:v>
      </x:c>
      <x:c r="H370" s="58" t="str">
        <x:v>Different estimand; see verification</x:v>
      </x:c>
      <x:c r="I370" s="58" t="str">
        <x:v>Not reported</x:v>
      </x:c>
      <x:c r="J370" s="57" t="n">
        <x:v>1</x:v>
      </x:c>
      <x:c r="K370" s="34" t="n">
        <x:v>0</x:v>
      </x:c>
      <x:c r="L370" s="34" t="n">
        <x:f>J370*K370</x:f>
        <x:v>0</x:v>
      </x:c>
      <x:c r="M370" s="33" t="str">
        <x:v>Different estimand</x:v>
      </x:c>
      <x:c r="N370" s="35" t="str">
        <x:v>Executed analyses use pooled iAUC repeatability, continuous SSPG/DI associations or iAUC meal means; these differ from the specified meal-specific peak-increment estimand.</x:v>
      </x:c>
    </x:row>
    <x:row r="371" ht="54" customHeight="1">
      <x:c r="A371" s="32" t="str">
        <x:v>FR-0001</x:v>
      </x:c>
      <x:c r="B371" s="33" t="str">
        <x:v>BioMedAgent</x:v>
      </x:c>
      <x:c r="C371" s="33" t="str">
        <x:v>A04</x:v>
      </x:c>
      <x:c r="D371" s="33" t="str">
        <x:v>Within-participant Rice minus Beans mean peak glucose increment (mg/dL); 21 pairs</x:v>
      </x:c>
      <x:c r="E371" s="59" t="n">
        <x:v>39.2518017663</x:v>
      </x:c>
      <x:c r="F371" s="58" t="str">
        <x:v>[30.6632, 47.8404]</x:v>
      </x:c>
      <x:c r="G371" s="59" t="n">
        <x:v>17.1772122957</x:v>
      </x:c>
      <x:c r="H371" s="58" t="str">
        <x:v>Different estimand; see verification</x:v>
      </x:c>
      <x:c r="I371" s="58" t="str">
        <x:v>Not reported</x:v>
      </x:c>
      <x:c r="J371" s="57" t="n">
        <x:v>1</x:v>
      </x:c>
      <x:c r="K371" s="34" t="n">
        <x:v>0</x:v>
      </x:c>
      <x:c r="L371" s="34" t="n">
        <x:f>J371*K371</x:f>
        <x:v>0</x:v>
      </x:c>
      <x:c r="M371" s="33" t="str">
        <x:v>Different estimand</x:v>
      </x:c>
      <x:c r="N371" s="35" t="str">
        <x:v>Executed analyses use pooled iAUC repeatability, continuous SSPG/DI associations or iAUC meal means; these differ from the specified meal-specific peak-increment estimand.</x:v>
      </x:c>
    </x:row>
    <x:row r="372" ht="54" customHeight="1">
      <x:c r="A372" s="32" t="str">
        <x:v>FR-0001</x:v>
      </x:c>
      <x:c r="B372" s="33" t="str">
        <x:v>BioMedAgent</x:v>
      </x:c>
      <x:c r="C372" s="33" t="str">
        <x:v>A05</x:v>
      </x:c>
      <x:c r="D372" s="33" t="str">
        <x:v>Potatoes: participant-mean peak increment, insulin-resistant minus insulin-sensitive (mg/dL); SSPG groups, n=14 versus 17</x:v>
      </x:c>
      <x:c r="E372" s="59" t="n">
        <x:v>22.9003192008</x:v>
      </x:c>
      <x:c r="F372" s="58" t="str">
        <x:v>[4.76207, 41.0386]</x:v>
      </x:c>
      <x:c r="G372" s="59" t="n">
        <x:v>36.2764959992</x:v>
      </x:c>
      <x:c r="H372" s="58" t="str">
        <x:v>Different estimand; see verification</x:v>
      </x:c>
      <x:c r="I372" s="58" t="str">
        <x:v>Not reported</x:v>
      </x:c>
      <x:c r="J372" s="57" t="n">
        <x:v>2</x:v>
      </x:c>
      <x:c r="K372" s="34" t="n">
        <x:v>0</x:v>
      </x:c>
      <x:c r="L372" s="34" t="n">
        <x:f>J372*K372</x:f>
        <x:v>0</x:v>
      </x:c>
      <x:c r="M372" s="33" t="str">
        <x:v>Different estimand</x:v>
      </x:c>
      <x:c r="N372" s="35" t="str">
        <x:v>Executed analyses use pooled iAUC repeatability, continuous SSPG/DI associations or iAUC meal means; these differ from the specified meal-specific peak-increment estimand.</x:v>
      </x:c>
    </x:row>
    <x:row r="373" ht="54" customHeight="1">
      <x:c r="A373" s="32" t="str">
        <x:v>FR-0001</x:v>
      </x:c>
      <x:c r="B373" s="33" t="str">
        <x:v>BioMedAgent</x:v>
      </x:c>
      <x:c r="C373" s="33" t="str">
        <x:v>A06</x:v>
      </x:c>
      <x:c r="D373" s="33" t="str">
        <x:v>Potatoes: OLS coefficient of insulin resistance for peak increment (mg/dL), adjusted for BMI, age and sex; n=29</x:v>
      </x:c>
      <x:c r="E373" s="59" t="n">
        <x:v>38.9480203973</x:v>
      </x:c>
      <x:c r="F373" s="58" t="str">
        <x:v>[17.4817, 60.4144]</x:v>
      </x:c>
      <x:c r="G373" s="59" t="n">
        <x:v>42.93273471</x:v>
      </x:c>
      <x:c r="H373" s="58" t="str">
        <x:v>Different estimand; see verification</x:v>
      </x:c>
      <x:c r="I373" s="58" t="str">
        <x:v>Not reported</x:v>
      </x:c>
      <x:c r="J373" s="57" t="n">
        <x:v>2</x:v>
      </x:c>
      <x:c r="K373" s="34" t="n">
        <x:v>0</x:v>
      </x:c>
      <x:c r="L373" s="34" t="n">
        <x:f>J373*K373</x:f>
        <x:v>0</x:v>
      </x:c>
      <x:c r="M373" s="33" t="str">
        <x:v>Different estimand</x:v>
      </x:c>
      <x:c r="N373" s="35" t="str">
        <x:v>Executed analyses use pooled iAUC repeatability, continuous SSPG/DI associations or iAUC meal means; these differ from the specified meal-specific peak-increment estimand.</x:v>
      </x:c>
    </x:row>
    <x:row r="374" ht="54" customHeight="1">
      <x:c r="A374" s="32" t="str">
        <x:v>FR-0001</x:v>
      </x:c>
      <x:c r="B374" s="33" t="str">
        <x:v>BioMedAgent</x:v>
      </x:c>
      <x:c r="C374" s="33" t="str">
        <x:v>A07</x:v>
      </x:c>
      <x:c r="D374" s="33" t="str">
        <x:v>Pasta: participant-mean peak increment, insulin-resistant minus insulin-sensitive (mg/dL); n=13 versus 9</x:v>
      </x:c>
      <x:c r="E374" s="59" t="n">
        <x:v>19.7260427339</x:v>
      </x:c>
      <x:c r="F374" s="58" t="str">
        <x:v>[-0.461107, 39.9132]</x:v>
      </x:c>
      <x:c r="G374" s="59" t="n">
        <x:v>40.3742991893</x:v>
      </x:c>
      <x:c r="H374" s="58" t="str">
        <x:v>Different estimand; see verification</x:v>
      </x:c>
      <x:c r="I374" s="58" t="str">
        <x:v>Not reported</x:v>
      </x:c>
      <x:c r="J374" s="57" t="n">
        <x:v>1</x:v>
      </x:c>
      <x:c r="K374" s="34" t="n">
        <x:v>0</x:v>
      </x:c>
      <x:c r="L374" s="34" t="n">
        <x:f>J374*K374</x:f>
        <x:v>0</x:v>
      </x:c>
      <x:c r="M374" s="33" t="str">
        <x:v>Different estimand</x:v>
      </x:c>
      <x:c r="N374" s="35" t="str">
        <x:v>Executed analyses use pooled iAUC repeatability, continuous SSPG/DI associations or iAUC meal means; these differ from the specified meal-specific peak-increment estimand.</x:v>
      </x:c>
    </x:row>
    <x:row r="375" ht="54" customHeight="1">
      <x:c r="A375" s="32" t="str">
        <x:v>FR-0001</x:v>
      </x:c>
      <x:c r="B375" s="33" t="str">
        <x:v>BioMedAgent</x:v>
      </x:c>
      <x:c r="C375" s="33" t="str">
        <x:v>A08</x:v>
      </x:c>
      <x:c r="D375" s="33" t="str">
        <x:v>Potatoes: participant-mean peak increment, dysfunctional minus normal beta-cell function (mg/dL); DI groups, n=11 versus 8</x:v>
      </x:c>
      <x:c r="E375" s="59" t="n">
        <x:v>26.7850824792</x:v>
      </x:c>
      <x:c r="F375" s="58" t="str">
        <x:v>[5.73288, 47.8373]</x:v>
      </x:c>
      <x:c r="G375" s="59" t="n">
        <x:v>42.1044051555</x:v>
      </x:c>
      <x:c r="H375" s="58" t="str">
        <x:v>Different estimand; see verification</x:v>
      </x:c>
      <x:c r="I375" s="58" t="str">
        <x:v>Not reported</x:v>
      </x:c>
      <x:c r="J375" s="57" t="n">
        <x:v>2</x:v>
      </x:c>
      <x:c r="K375" s="34" t="n">
        <x:v>0</x:v>
      </x:c>
      <x:c r="L375" s="34" t="n">
        <x:f>J375*K375</x:f>
        <x:v>0</x:v>
      </x:c>
      <x:c r="M375" s="33" t="str">
        <x:v>Different estimand</x:v>
      </x:c>
      <x:c r="N375" s="35" t="str">
        <x:v>Executed analyses use pooled iAUC repeatability, continuous SSPG/DI associations or iAUC meal means; these differ from the specified meal-specific peak-increment estimand.</x:v>
      </x:c>
    </x:row>
    <x:row r="376" ht="48" customHeight="1">
      <x:c r="A376" s="32" t="str">
        <x:v>FR-0001</x:v>
      </x:c>
      <x:c r="B376" s="33" t="str">
        <x:v>BioMedAgent</x:v>
      </x:c>
      <x:c r="C376" s="33" t="str">
        <x:v>A09</x:v>
      </x:c>
      <x:c r="D376" s="33" t="str">
        <x:v>Spearman correlation between participant-level Potatoes/Grapes peak-increment ratio and SSPG; n=31</x:v>
      </x:c>
      <x:c r="E376" s="59" t="n">
        <x:v>0.6728500891</x:v>
      </x:c>
      <x:c r="F376" s="58" t="str">
        <x:v>[0.40884, 0.802562]</x:v>
      </x:c>
      <x:c r="G376" s="59" t="n">
        <x:v>0.3937219199</x:v>
      </x:c>
      <x:c r="H376" s="58" t="str">
        <x:v>No corresponding executed estimate</x:v>
      </x:c>
      <x:c r="I376" s="58" t="str">
        <x:v>Not reported</x:v>
      </x:c>
      <x:c r="J376" s="57" t="n">
        <x:v>2</x:v>
      </x:c>
      <x:c r="K376" s="34" t="n">
        <x:v>0</x:v>
      </x:c>
      <x:c r="L376" s="34" t="n">
        <x:f>J376*K376</x:f>
        <x:v>0</x:v>
      </x:c>
      <x:c r="M376" s="33" t="str">
        <x:v>Not answered</x:v>
      </x:c>
      <x:c r="N376" s="35" t="str">
        <x:v>No estimate of the Potatoes/Grapes peak-increment ratio association is produced.</x:v>
      </x:c>
    </x:row>
    <x:row r="377" ht="48" customHeight="1">
      <x:c r="A377" s="40" t="str">
        <x:v>FR-0002</x:v>
      </x:c>
      <x:c r="B377" s="41" t="str">
        <x:v>BioMedAgent</x:v>
      </x:c>
      <x:c r="C377" s="41" t="str">
        <x:v>A1</x:v>
      </x:c>
      <x:c r="D377" s="41" t="str">
        <x:v>Participants with analyzable DNA sequencing</x:v>
      </x:c>
      <x:c r="E377" s="54" t="n">
        <x:v>89</x:v>
      </x:c>
      <x:c r="F377" s="55" t="str">
        <x:v>Not specified</x:v>
      </x:c>
      <x:c r="G377" s="54" t="n">
        <x:v>0</x:v>
      </x:c>
      <x:c r="H377" s="54" t="n">
        <x:v>89</x:v>
      </x:c>
      <x:c r="I377" s="55" t="str">
        <x:v>Not reported</x:v>
      </x:c>
      <x:c r="J377" s="54" t="n">
        <x:v>1</x:v>
      </x:c>
      <x:c r="K377" s="56" t="n">
        <x:v>1</x:v>
      </x:c>
      <x:c r="L377" s="56" t="n">
        <x:f>J377*K377</x:f>
        <x:v>1</x:v>
      </x:c>
      <x:c r="M377" s="41" t="str">
        <x:v>Comparable</x:v>
      </x:c>
      <x:c r="N377" s="41" t="str">
        <x:v>The executed main-results table explicitly records the assay-wide participant and sample totals.</x:v>
      </x:c>
    </x:row>
    <x:row r="378" ht="48" customHeight="1">
      <x:c r="A378" s="32" t="str">
        <x:v>FR-0002</x:v>
      </x:c>
      <x:c r="B378" s="33" t="str">
        <x:v>BioMedAgent</x:v>
      </x:c>
      <x:c r="C378" s="33" t="str">
        <x:v>A2</x:v>
      </x:c>
      <x:c r="D378" s="33" t="str">
        <x:v>DNA sequencing samples across both study arms and visits</x:v>
      </x:c>
      <x:c r="E378" s="57" t="n">
        <x:v>127</x:v>
      </x:c>
      <x:c r="F378" s="58" t="str">
        <x:v>Not specified</x:v>
      </x:c>
      <x:c r="G378" s="57" t="n">
        <x:v>0</x:v>
      </x:c>
      <x:c r="H378" s="57" t="n">
        <x:v>127</x:v>
      </x:c>
      <x:c r="I378" s="58" t="str">
        <x:v>Not reported</x:v>
      </x:c>
      <x:c r="J378" s="57" t="n">
        <x:v>1</x:v>
      </x:c>
      <x:c r="K378" s="34" t="n">
        <x:v>1</x:v>
      </x:c>
      <x:c r="L378" s="34" t="n">
        <x:f>J378*K378</x:f>
        <x:v>1</x:v>
      </x:c>
      <x:c r="M378" s="33" t="str">
        <x:v>Comparable</x:v>
      </x:c>
      <x:c r="N378" s="35" t="str">
        <x:v>The executed main-results table explicitly records the assay-wide participant and sample totals.</x:v>
      </x:c>
    </x:row>
    <x:row r="379" ht="48" customHeight="1">
      <x:c r="A379" s="32" t="str">
        <x:v>FR-0002</x:v>
      </x:c>
      <x:c r="B379" s="33" t="str">
        <x:v>BioMedAgent</x:v>
      </x:c>
      <x:c r="C379" s="33" t="str">
        <x:v>A3</x:v>
      </x:c>
      <x:c r="D379" s="33" t="str">
        <x:v>Participants with analyzable RNA sequencing</x:v>
      </x:c>
      <x:c r="E379" s="57" t="n">
        <x:v>70</x:v>
      </x:c>
      <x:c r="F379" s="58" t="str">
        <x:v>Not specified</x:v>
      </x:c>
      <x:c r="G379" s="57" t="n">
        <x:v>0</x:v>
      </x:c>
      <x:c r="H379" s="57" t="n">
        <x:v>70</x:v>
      </x:c>
      <x:c r="I379" s="58" t="str">
        <x:v>Not reported</x:v>
      </x:c>
      <x:c r="J379" s="57" t="n">
        <x:v>1</x:v>
      </x:c>
      <x:c r="K379" s="34" t="n">
        <x:v>1</x:v>
      </x:c>
      <x:c r="L379" s="34" t="n">
        <x:f>J379*K379</x:f>
        <x:v>1</x:v>
      </x:c>
      <x:c r="M379" s="33" t="str">
        <x:v>Comparable</x:v>
      </x:c>
      <x:c r="N379" s="35" t="str">
        <x:v>The executed main-results table explicitly records the assay-wide participant and sample totals.</x:v>
      </x:c>
    </x:row>
    <x:row r="380" ht="48" customHeight="1">
      <x:c r="A380" s="32" t="str">
        <x:v>FR-0002</x:v>
      </x:c>
      <x:c r="B380" s="33" t="str">
        <x:v>BioMedAgent</x:v>
      </x:c>
      <x:c r="C380" s="33" t="str">
        <x:v>A4</x:v>
      </x:c>
      <x:c r="D380" s="33" t="str">
        <x:v>RNA sequencing samples across both study arms and visits</x:v>
      </x:c>
      <x:c r="E380" s="57" t="n">
        <x:v>86</x:v>
      </x:c>
      <x:c r="F380" s="58" t="str">
        <x:v>Not specified</x:v>
      </x:c>
      <x:c r="G380" s="57" t="n">
        <x:v>0</x:v>
      </x:c>
      <x:c r="H380" s="57" t="n">
        <x:v>86</x:v>
      </x:c>
      <x:c r="I380" s="58" t="str">
        <x:v>Not reported</x:v>
      </x:c>
      <x:c r="J380" s="57" t="n">
        <x:v>1</x:v>
      </x:c>
      <x:c r="K380" s="34" t="n">
        <x:v>1</x:v>
      </x:c>
      <x:c r="L380" s="34" t="n">
        <x:f>J380*K380</x:f>
        <x:v>1</x:v>
      </x:c>
      <x:c r="M380" s="33" t="str">
        <x:v>Comparable</x:v>
      </x:c>
      <x:c r="N380" s="35" t="str">
        <x:v>The executed main-results table explicitly records the assay-wide participant and sample totals.</x:v>
      </x:c>
    </x:row>
    <x:row r="381" ht="48" customHeight="1">
      <x:c r="A381" s="32" t="str">
        <x:v>FR-0002</x:v>
      </x:c>
      <x:c r="B381" s="33" t="str">
        <x:v>BioMedAgent</x:v>
      </x:c>
      <x:c r="C381" s="33" t="str">
        <x:v>A5</x:v>
      </x:c>
      <x:c r="D381" s="33" t="str">
        <x:v>Distinct tetracycline ARGs detected across all day-0 DNA samples</x:v>
      </x:c>
      <x:c r="E381" s="57" t="n">
        <x:v>41</x:v>
      </x:c>
      <x:c r="F381" s="58" t="str">
        <x:v>Not specified</x:v>
      </x:c>
      <x:c r="G381" s="57" t="n">
        <x:v>5</x:v>
      </x:c>
      <x:c r="H381" s="58" t="str">
        <x:v>No corresponding executed estimate</x:v>
      </x:c>
      <x:c r="I381" s="58" t="str">
        <x:v>Not reported</x:v>
      </x:c>
      <x:c r="J381" s="57" t="n">
        <x:v>1</x:v>
      </x:c>
      <x:c r="K381" s="34" t="n">
        <x:v>0</x:v>
      </x:c>
      <x:c r="L381" s="34" t="n">
        <x:f>J381*K381</x:f>
        <x:v>0</x:v>
      </x:c>
      <x:c r="M381" s="33" t="str">
        <x:v>Not answered</x:v>
      </x:c>
      <x:c r="N381" s="35" t="str">
        <x:v>No baseline pooled tetracycline-gene count or baseline RNA detection proportion is calculated; all-RNA zero counts do not identify baseline prevalence.</x:v>
      </x:c>
    </x:row>
    <x:row r="382" ht="48" customHeight="1">
      <x:c r="A382" s="32" t="str">
        <x:v>FR-0002</x:v>
      </x:c>
      <x:c r="B382" s="33" t="str">
        <x:v>BioMedAgent</x:v>
      </x:c>
      <x:c r="C382" s="33" t="str">
        <x:v>A6</x:v>
      </x:c>
      <x:c r="D382" s="33" t="str">
        <x:v>Distinct tetracycline ARGs detected across all day-0 RNA samples</x:v>
      </x:c>
      <x:c r="E382" s="57" t="n">
        <x:v>17</x:v>
      </x:c>
      <x:c r="F382" s="58" t="str">
        <x:v>Not specified</x:v>
      </x:c>
      <x:c r="G382" s="57" t="n">
        <x:v>4</x:v>
      </x:c>
      <x:c r="H382" s="58" t="str">
        <x:v>No corresponding executed estimate</x:v>
      </x:c>
      <x:c r="I382" s="58" t="str">
        <x:v>Not reported</x:v>
      </x:c>
      <x:c r="J382" s="57" t="n">
        <x:v>1</x:v>
      </x:c>
      <x:c r="K382" s="34" t="n">
        <x:v>0</x:v>
      </x:c>
      <x:c r="L382" s="34" t="n">
        <x:f>J382*K382</x:f>
        <x:v>0</x:v>
      </x:c>
      <x:c r="M382" s="33" t="str">
        <x:v>Not answered</x:v>
      </x:c>
      <x:c r="N382" s="35" t="str">
        <x:v>No baseline pooled tetracycline-gene count or baseline RNA detection proportion is calculated; all-RNA zero counts do not identify baseline prevalence.</x:v>
      </x:c>
    </x:row>
    <x:row r="383" ht="54" customHeight="1">
      <x:c r="A383" s="32" t="str">
        <x:v>FR-0002</x:v>
      </x:c>
      <x:c r="B383" s="33" t="str">
        <x:v>BioMedAgent</x:v>
      </x:c>
      <x:c r="C383" s="33" t="str">
        <x:v>A7</x:v>
      </x:c>
      <x:c r="D383" s="33" t="str">
        <x:v>Day-0 DNA samples with at least one tetracycline ARG; proportion, 58/58</x:v>
      </x:c>
      <x:c r="E383" s="57" t="n">
        <x:v>1</x:v>
      </x:c>
      <x:c r="F383" s="58" t="str">
        <x:v>Not specified</x:v>
      </x:c>
      <x:c r="G383" s="59" t="n">
        <x:v>0.05</x:v>
      </x:c>
      <x:c r="H383" s="57" t="n">
        <x:v>1</x:v>
      </x:c>
      <x:c r="I383" s="58" t="str">
        <x:v>Not reported</x:v>
      </x:c>
      <x:c r="J383" s="57" t="n">
        <x:v>1</x:v>
      </x:c>
      <x:c r="K383" s="34" t="n">
        <x:v>0.6666666666666666</x:v>
      </x:c>
      <x:c r="L383" s="34" t="n">
        <x:f>J383*K383</x:f>
        <x:v>0.6666666666666666</x:v>
      </x:c>
      <x:c r="M383" s="33" t="str">
        <x:v>Comparable</x:v>
      </x:c>
      <x:c r="N383" s="35" t="str">
        <x:v>Executed checks find zero tetracycline-mass zeros across all DNA samples and 58 baseline samples, establishing 58/58 baseline detection by set inclusion. With no reference CI, the adopted reproduction score is 2/3.</x:v>
      </x:c>
    </x:row>
    <x:row r="384" ht="48" customHeight="1">
      <x:c r="A384" s="32" t="str">
        <x:v>FR-0002</x:v>
      </x:c>
      <x:c r="B384" s="33" t="str">
        <x:v>BioMedAgent</x:v>
      </x:c>
      <x:c r="C384" s="33" t="str">
        <x:v>A8</x:v>
      </x:c>
      <x:c r="D384" s="33" t="str">
        <x:v>Day-0 RNA samples with at least one tetracycline ARG; proportion, 22/26</x:v>
      </x:c>
      <x:c r="E384" s="59" t="n">
        <x:v>0.85</x:v>
      </x:c>
      <x:c r="F384" s="58" t="str">
        <x:v>Not specified</x:v>
      </x:c>
      <x:c r="G384" s="59" t="n">
        <x:v>0.1</x:v>
      </x:c>
      <x:c r="H384" s="58" t="str">
        <x:v>No corresponding executed estimate</x:v>
      </x:c>
      <x:c r="I384" s="58" t="str">
        <x:v>Not reported</x:v>
      </x:c>
      <x:c r="J384" s="57" t="n">
        <x:v>1</x:v>
      </x:c>
      <x:c r="K384" s="34" t="n">
        <x:v>0</x:v>
      </x:c>
      <x:c r="L384" s="34" t="n">
        <x:f>J384*K384</x:f>
        <x:v>0</x:v>
      </x:c>
      <x:c r="M384" s="33" t="str">
        <x:v>Not answered</x:v>
      </x:c>
      <x:c r="N384" s="35" t="str">
        <x:v>No baseline pooled tetracycline-gene count or baseline RNA detection proportion is calculated; all-RNA zero counts do not identify baseline prevalence.</x:v>
      </x:c>
    </x:row>
    <x:row r="385" ht="67.5" customHeight="1">
      <x:c r="A385" s="32" t="str">
        <x:v>FR-0002</x:v>
      </x:c>
      <x:c r="B385" s="33" t="str">
        <x:v>BioMedAgent</x:v>
      </x:c>
      <x:c r="C385" s="33" t="str">
        <x:v>A9</x:v>
      </x:c>
      <x:c r="D385" s="33" t="str">
        <x:v>Within doxy-PEP: month 6 versus day 0 coefficient for DNA tetracycline ARG mass proportion; zero/one-inflated beta model, logit mu, adjusted for HIV and cephalosporin days</x:v>
      </x:c>
      <x:c r="E385" s="59" t="n">
        <x:v>0.45</x:v>
      </x:c>
      <x:c r="F385" s="58" t="str">
        <x:v>[0.19, 0.7]</x:v>
      </x:c>
      <x:c r="G385" s="59" t="n">
        <x:v>0.51</x:v>
      </x:c>
      <x:c r="H385" s="58" t="str">
        <x:v>Different estimand; see verification</x:v>
      </x:c>
      <x:c r="I385" s="58" t="str">
        <x:v>Not reported</x:v>
      </x:c>
      <x:c r="J385" s="57" t="n">
        <x:v>2</x:v>
      </x:c>
      <x:c r="K385" s="34" t="n">
        <x:v>0</x:v>
      </x:c>
      <x:c r="L385" s="34" t="n">
        <x:f>J385*K385</x:f>
        <x:v>0</x:v>
      </x:c>
      <x:c r="M385" s="33" t="str">
        <x:v>Different estimand</x:v>
      </x:c>
      <x:c r="N385" s="35" t="str">
        <x:v>The primary contrast is between-arm change in log10 absolute mass, not the specified within-arm beta-logit proportion change or categorized-dose correlation.</x:v>
      </x:c>
    </x:row>
    <x:row r="386" ht="67.5" customHeight="1">
      <x:c r="A386" s="32" t="str">
        <x:v>FR-0002</x:v>
      </x:c>
      <x:c r="B386" s="33" t="str">
        <x:v>BioMedAgent</x:v>
      </x:c>
      <x:c r="C386" s="33" t="str">
        <x:v>A10</x:v>
      </x:c>
      <x:c r="D386" s="33" t="str">
        <x:v>Within doxy-PEP: month 6 versus day 0 coefficient for RNA tetracycline ARG expression-mass proportion; zero/one-inflated beta model, logit mu, adjusted for HIV and cephalosporin days</x:v>
      </x:c>
      <x:c r="E386" s="59" t="n">
        <x:v>1.5</x:v>
      </x:c>
      <x:c r="F386" s="58" t="str">
        <x:v>[0.94, 2]</x:v>
      </x:c>
      <x:c r="G386" s="59" t="n">
        <x:v>1.06</x:v>
      </x:c>
      <x:c r="H386" s="58" t="str">
        <x:v>Different estimand; see verification</x:v>
      </x:c>
      <x:c r="I386" s="58" t="str">
        <x:v>Not reported</x:v>
      </x:c>
      <x:c r="J386" s="57" t="n">
        <x:v>2</x:v>
      </x:c>
      <x:c r="K386" s="34" t="n">
        <x:v>0</x:v>
      </x:c>
      <x:c r="L386" s="34" t="n">
        <x:f>J386*K386</x:f>
        <x:v>0</x:v>
      </x:c>
      <x:c r="M386" s="33" t="str">
        <x:v>Different estimand</x:v>
      </x:c>
      <x:c r="N386" s="35" t="str">
        <x:v>The primary contrast is between-arm change in log10 absolute mass, not the specified within-arm beta-logit proportion change or categorized-dose correlation.</x:v>
      </x:c>
    </x:row>
    <x:row r="387" ht="67.5" customHeight="1">
      <x:c r="A387" s="32" t="str">
        <x:v>FR-0002</x:v>
      </x:c>
      <x:c r="B387" s="33" t="str">
        <x:v>BioMedAgent</x:v>
      </x:c>
      <x:c r="C387" s="33" t="str">
        <x:v>A11</x:v>
      </x:c>
      <x:c r="D387" s="33" t="str">
        <x:v>Within doxy-PEP: month 6 versus day 0 coefficient for RNA MLS ARG expression-mass proportion; zero/one-inflated beta model, logit mu, adjusted for HIV and cephalosporin days</x:v>
      </x:c>
      <x:c r="E387" s="59" t="n">
        <x:v>-0.76</x:v>
      </x:c>
      <x:c r="F387" s="58" t="str">
        <x:v>[-1.37, -0.15]</x:v>
      </x:c>
      <x:c r="G387" s="59" t="n">
        <x:v>1.22</x:v>
      </x:c>
      <x:c r="H387" s="58" t="str">
        <x:v>Different estimand; see verification</x:v>
      </x:c>
      <x:c r="I387" s="58" t="str">
        <x:v>Not reported</x:v>
      </x:c>
      <x:c r="J387" s="57" t="n">
        <x:v>1</x:v>
      </x:c>
      <x:c r="K387" s="34" t="n">
        <x:v>0</x:v>
      </x:c>
      <x:c r="L387" s="34" t="n">
        <x:f>J387*K387</x:f>
        <x:v>0</x:v>
      </x:c>
      <x:c r="M387" s="33" t="str">
        <x:v>Different estimand</x:v>
      </x:c>
      <x:c r="N387" s="35" t="str">
        <x:v>The primary contrast is between-arm change in log10 absolute mass, not the specified within-arm beta-logit proportion change or categorized-dose correlation.</x:v>
      </x:c>
    </x:row>
    <x:row r="388" ht="54" customHeight="1">
      <x:c r="A388" s="32" t="str">
        <x:v>FR-0002</x:v>
      </x:c>
      <x:c r="B388" s="33" t="str">
        <x:v>BioMedAgent</x:v>
      </x:c>
      <x:c r="C388" s="33" t="str">
        <x:v>A12</x:v>
      </x:c>
      <x:c r="D388" s="33" t="str">
        <x:v>All DNA samples: Spearman correlation of four cumulative doxycycline-dose categories with tetracycline ARG mass proportion</x:v>
      </x:c>
      <x:c r="E388" s="59" t="n">
        <x:v>0.23</x:v>
      </x:c>
      <x:c r="F388" s="58" t="str">
        <x:v>Not specified</x:v>
      </x:c>
      <x:c r="G388" s="59" t="n">
        <x:v>0.1</x:v>
      </x:c>
      <x:c r="H388" s="58" t="str">
        <x:v>Different estimand; see verification</x:v>
      </x:c>
      <x:c r="I388" s="58" t="str">
        <x:v>Not reported</x:v>
      </x:c>
      <x:c r="J388" s="57" t="n">
        <x:v>1</x:v>
      </x:c>
      <x:c r="K388" s="34" t="n">
        <x:v>0</x:v>
      </x:c>
      <x:c r="L388" s="34" t="n">
        <x:f>J388*K388</x:f>
        <x:v>0</x:v>
      </x:c>
      <x:c r="M388" s="33" t="str">
        <x:v>Different estimand</x:v>
      </x:c>
      <x:c r="N388" s="35" t="str">
        <x:v>The primary contrast is between-arm change in log10 absolute mass, not the specified within-arm beta-logit proportion change or categorized-dose correlation.</x:v>
      </x:c>
    </x:row>
    <x:row r="389" ht="54" customHeight="1">
      <x:c r="A389" s="32" t="str">
        <x:v>FR-0002</x:v>
      </x:c>
      <x:c r="B389" s="33" t="str">
        <x:v>BioMedAgent</x:v>
      </x:c>
      <x:c r="C389" s="33" t="str">
        <x:v>A13</x:v>
      </x:c>
      <x:c r="D389" s="33" t="str">
        <x:v>All RNA samples: Spearman correlation of four cumulative doxycycline-dose categories with expressed tetracycline ARG richness</x:v>
      </x:c>
      <x:c r="E389" s="59" t="n">
        <x:v>0.39</x:v>
      </x:c>
      <x:c r="F389" s="58" t="str">
        <x:v>Not specified</x:v>
      </x:c>
      <x:c r="G389" s="59" t="n">
        <x:v>0.15</x:v>
      </x:c>
      <x:c r="H389" s="58" t="str">
        <x:v>Different estimand; see verification</x:v>
      </x:c>
      <x:c r="I389" s="58" t="str">
        <x:v>Not reported</x:v>
      </x:c>
      <x:c r="J389" s="57" t="n">
        <x:v>1</x:v>
      </x:c>
      <x:c r="K389" s="34" t="n">
        <x:v>0</x:v>
      </x:c>
      <x:c r="L389" s="34" t="n">
        <x:f>J389*K389</x:f>
        <x:v>0</x:v>
      </x:c>
      <x:c r="M389" s="33" t="str">
        <x:v>Different estimand</x:v>
      </x:c>
      <x:c r="N389" s="35" t="str">
        <x:v>The primary contrast is between-arm change in log10 absolute mass, not the specified within-arm beta-logit proportion change or categorized-dose correlation.</x:v>
      </x:c>
    </x:row>
    <x:row r="390" ht="54" customHeight="1">
      <x:c r="A390" s="32" t="str">
        <x:v>FR-0002</x:v>
      </x:c>
      <x:c r="B390" s="33" t="str">
        <x:v>BioMedAgent</x:v>
      </x:c>
      <x:c r="C390" s="33" t="str">
        <x:v>A14</x:v>
      </x:c>
      <x:c r="D390" s="33" t="str">
        <x:v>All RNA samples: Spearman correlation of four cumulative doxycycline-dose categories with expressed tetracycline ARG mass proportion</x:v>
      </x:c>
      <x:c r="E390" s="59" t="n">
        <x:v>0.55</x:v>
      </x:c>
      <x:c r="F390" s="58" t="str">
        <x:v>Not specified</x:v>
      </x:c>
      <x:c r="G390" s="59" t="n">
        <x:v>0.15</x:v>
      </x:c>
      <x:c r="H390" s="58" t="str">
        <x:v>Different estimand; see verification</x:v>
      </x:c>
      <x:c r="I390" s="58" t="str">
        <x:v>Not reported</x:v>
      </x:c>
      <x:c r="J390" s="57" t="n">
        <x:v>1</x:v>
      </x:c>
      <x:c r="K390" s="34" t="n">
        <x:v>0</x:v>
      </x:c>
      <x:c r="L390" s="34" t="n">
        <x:f>J390*K390</x:f>
        <x:v>0</x:v>
      </x:c>
      <x:c r="M390" s="33" t="str">
        <x:v>Different estimand</x:v>
      </x:c>
      <x:c r="N390" s="35" t="str">
        <x:v>The primary contrast is between-arm change in log10 absolute mass, not the specified within-arm beta-logit proportion change or categorized-dose correlation.</x:v>
      </x:c>
    </x:row>
    <x:row r="391" ht="48" customHeight="1">
      <x:c r="A391" s="40" t="str">
        <x:v>FR-0003</x:v>
      </x:c>
      <x:c r="B391" s="41" t="str">
        <x:v>BioMedAgent</x:v>
      </x:c>
      <x:c r="C391" s="41" t="str">
        <x:v>A01</x:v>
      </x:c>
      <x:c r="D391" s="41" t="str">
        <x:v>Participants with all three target biopsies (baseline, weeks 24 and 52), both randomized arms</x:v>
      </x:c>
      <x:c r="E391" s="54" t="n">
        <x:v>20</x:v>
      </x:c>
      <x:c r="F391" s="55" t="str">
        <x:v>Not specified</x:v>
      </x:c>
      <x:c r="G391" s="54" t="n">
        <x:v>0</x:v>
      </x:c>
      <x:c r="H391" s="54" t="n">
        <x:v>20</x:v>
      </x:c>
      <x:c r="I391" s="55" t="str">
        <x:v>Not reported</x:v>
      </x:c>
      <x:c r="J391" s="54" t="n">
        <x:v>1</x:v>
      </x:c>
      <x:c r="K391" s="56" t="n">
        <x:v>1</x:v>
      </x:c>
      <x:c r="L391" s="56" t="n">
        <x:f>J391*K391</x:f>
        <x:v>1</x:v>
      </x:c>
      <x:c r="M391" s="41" t="str">
        <x:v>Comparable</x:v>
      </x:c>
      <x:c r="N391" s="41" t="str">
        <x:v>The executed complete-case pivot selects baseline/week-24/week-52 biopsies; the output has 10 participants per arm, totaling 20 participants and 60 biopsies.</x:v>
      </x:c>
    </x:row>
    <x:row r="392" ht="48" customHeight="1">
      <x:c r="A392" s="32" t="str">
        <x:v>FR-0003</x:v>
      </x:c>
      <x:c r="B392" s="33" t="str">
        <x:v>BioMedAgent</x:v>
      </x:c>
      <x:c r="C392" s="33" t="str">
        <x:v>A02</x:v>
      </x:c>
      <x:c r="D392" s="33" t="str">
        <x:v>Biopsies from the 20 participants with all three target visits</x:v>
      </x:c>
      <x:c r="E392" s="57" t="n">
        <x:v>60</x:v>
      </x:c>
      <x:c r="F392" s="58" t="str">
        <x:v>Not specified</x:v>
      </x:c>
      <x:c r="G392" s="57" t="n">
        <x:v>0</x:v>
      </x:c>
      <x:c r="H392" s="57" t="n">
        <x:v>60</x:v>
      </x:c>
      <x:c r="I392" s="58" t="str">
        <x:v>Not reported</x:v>
      </x:c>
      <x:c r="J392" s="57" t="n">
        <x:v>1</x:v>
      </x:c>
      <x:c r="K392" s="34" t="n">
        <x:v>1</x:v>
      </x:c>
      <x:c r="L392" s="34" t="n">
        <x:f>J392*K392</x:f>
        <x:v>1</x:v>
      </x:c>
      <x:c r="M392" s="33" t="str">
        <x:v>Comparable</x:v>
      </x:c>
      <x:c r="N392" s="35" t="str">
        <x:v>The executed complete-case pivot selects baseline/week-24/week-52 biopsies; the output has 10 participants per arm, totaling 20 participants and 60 biopsies.</x:v>
      </x:c>
    </x:row>
    <x:row r="393" ht="54" customHeight="1">
      <x:c r="A393" s="32" t="str">
        <x:v>FR-0003</x:v>
      </x:c>
      <x:c r="B393" s="33" t="str">
        <x:v>BioMedAgent</x:v>
      </x:c>
      <x:c r="C393" s="33" t="str">
        <x:v>A03</x:v>
      </x:c>
      <x:c r="D393" s="33" t="str">
        <x:v>ABMR probability: felzartamab minus placebo difference in group-median change from baseline to week 24, native scale</x:v>
      </x:c>
      <x:c r="E393" s="59" t="n">
        <x:v>-0.67</x:v>
      </x:c>
      <x:c r="F393" s="58" t="str">
        <x:v>Not specified</x:v>
      </x:c>
      <x:c r="G393" s="59" t="n">
        <x:v>0.35</x:v>
      </x:c>
      <x:c r="H393" s="58" t="str">
        <x:v>Different estimand; see verification</x:v>
      </x:c>
      <x:c r="I393" s="58" t="str">
        <x:v>Not reported</x:v>
      </x:c>
      <x:c r="J393" s="57" t="n">
        <x:v>2</x:v>
      </x:c>
      <x:c r="K393" s="34" t="n">
        <x:v>0</x:v>
      </x:c>
      <x:c r="L393" s="34" t="n">
        <x:f>J393*K393</x:f>
        <x:v>0</x:v>
      </x:c>
      <x:c r="M393" s="33" t="str">
        <x:v>Different estimand</x:v>
      </x:c>
      <x:c r="N393" s="35" t="str">
        <x:v>Outputs estimate mean changes at target visits or the week-52 minus week-24 mean contrast, not changes in group medians or annual linear-trajectory slopes.</x:v>
      </x:c>
    </x:row>
    <x:row r="394" ht="54" customHeight="1">
      <x:c r="A394" s="32" t="str">
        <x:v>FR-0003</x:v>
      </x:c>
      <x:c r="B394" s="33" t="str">
        <x:v>BioMedAgent</x:v>
      </x:c>
      <x:c r="C394" s="33" t="str">
        <x:v>A04</x:v>
      </x:c>
      <x:c r="D394" s="33" t="str">
        <x:v>ABMR probability: felzartamab minus placebo difference in group-median change from week 24 to week 52, native scale</x:v>
      </x:c>
      <x:c r="E394" s="59" t="n">
        <x:v>0.79</x:v>
      </x:c>
      <x:c r="F394" s="58" t="str">
        <x:v>Not specified</x:v>
      </x:c>
      <x:c r="G394" s="59" t="n">
        <x:v>0.45</x:v>
      </x:c>
      <x:c r="H394" s="58" t="str">
        <x:v>Different estimand; see verification</x:v>
      </x:c>
      <x:c r="I394" s="58" t="str">
        <x:v>Not reported</x:v>
      </x:c>
      <x:c r="J394" s="57" t="n">
        <x:v>2</x:v>
      </x:c>
      <x:c r="K394" s="34" t="n">
        <x:v>0</x:v>
      </x:c>
      <x:c r="L394" s="34" t="n">
        <x:f>J394*K394</x:f>
        <x:v>0</x:v>
      </x:c>
      <x:c r="M394" s="33" t="str">
        <x:v>Different estimand</x:v>
      </x:c>
      <x:c r="N394" s="35" t="str">
        <x:v>Outputs estimate mean changes at target visits or the week-52 minus week-24 mean contrast, not changes in group medians or annual linear-trajectory slopes.</x:v>
      </x:c>
    </x:row>
    <x:row r="395" ht="54" customHeight="1">
      <x:c r="A395" s="32" t="str">
        <x:v>FR-0003</x:v>
      </x:c>
      <x:c r="B395" s="33" t="str">
        <x:v>BioMedAgent</x:v>
      </x:c>
      <x:c r="C395" s="33" t="str">
        <x:v>A05</x:v>
      </x:c>
      <x:c r="D395" s="33" t="str">
        <x:v>NK cell burden: felzartamab minus placebo difference in group-median change from baseline to week 24, native scale</x:v>
      </x:c>
      <x:c r="E395" s="59" t="n">
        <x:v>-0.8</x:v>
      </x:c>
      <x:c r="F395" s="58" t="str">
        <x:v>Not specified</x:v>
      </x:c>
      <x:c r="G395" s="59" t="n">
        <x:v>0.36</x:v>
      </x:c>
      <x:c r="H395" s="58" t="str">
        <x:v>Different estimand; see verification</x:v>
      </x:c>
      <x:c r="I395" s="58" t="str">
        <x:v>Not reported</x:v>
      </x:c>
      <x:c r="J395" s="57" t="n">
        <x:v>1</x:v>
      </x:c>
      <x:c r="K395" s="34" t="n">
        <x:v>0</x:v>
      </x:c>
      <x:c r="L395" s="34" t="n">
        <x:f>J395*K395</x:f>
        <x:v>0</x:v>
      </x:c>
      <x:c r="M395" s="33" t="str">
        <x:v>Different estimand</x:v>
      </x:c>
      <x:c r="N395" s="35" t="str">
        <x:v>Outputs estimate mean changes at target visits or the week-52 minus week-24 mean contrast, not changes in group medians or annual linear-trajectory slopes.</x:v>
      </x:c>
    </x:row>
    <x:row r="396" ht="54" customHeight="1">
      <x:c r="A396" s="32" t="str">
        <x:v>FR-0003</x:v>
      </x:c>
      <x:c r="B396" s="33" t="str">
        <x:v>BioMedAgent</x:v>
      </x:c>
      <x:c r="C396" s="33" t="str">
        <x:v>A06</x:v>
      </x:c>
      <x:c r="D396" s="33" t="str">
        <x:v>TCMR probability: felzartamab minus placebo difference in group-median change from baseline to week 24, native scale</x:v>
      </x:c>
      <x:c r="E396" s="59" t="n">
        <x:v>0.01</x:v>
      </x:c>
      <x:c r="F396" s="58" t="str">
        <x:v>Not specified</x:v>
      </x:c>
      <x:c r="G396" s="59" t="n">
        <x:v>0.05</x:v>
      </x:c>
      <x:c r="H396" s="58" t="str">
        <x:v>Different estimand; see verification</x:v>
      </x:c>
      <x:c r="I396" s="58" t="str">
        <x:v>Not reported</x:v>
      </x:c>
      <x:c r="J396" s="57" t="n">
        <x:v>1</x:v>
      </x:c>
      <x:c r="K396" s="34" t="n">
        <x:v>0</x:v>
      </x:c>
      <x:c r="L396" s="34" t="n">
        <x:f>J396*K396</x:f>
        <x:v>0</x:v>
      </x:c>
      <x:c r="M396" s="33" t="str">
        <x:v>Different estimand</x:v>
      </x:c>
      <x:c r="N396" s="35" t="str">
        <x:v>Outputs estimate mean changes at target visits or the week-52 minus week-24 mean contrast, not changes in group medians or annual linear-trajectory slopes.</x:v>
      </x:c>
    </x:row>
    <x:row r="397" ht="48" customHeight="1">
      <x:c r="A397" s="32" t="str">
        <x:v>FR-0003</x:v>
      </x:c>
      <x:c r="B397" s="33" t="str">
        <x:v>BioMedAgent</x:v>
      </x:c>
      <x:c r="C397" s="33" t="str">
        <x:v>A07</x:v>
      </x:c>
      <x:c r="D397" s="33" t="str">
        <x:v>Injury-repair-associated score: felzartamab minus placebo annual linear-trajectory slope difference</x:v>
      </x:c>
      <x:c r="E397" s="59" t="n">
        <x:v>-0.6</x:v>
      </x:c>
      <x:c r="F397" s="58" t="str">
        <x:v>[-1.1, -0.1]</x:v>
      </x:c>
      <x:c r="G397" s="57" t="n">
        <x:v>1</x:v>
      </x:c>
      <x:c r="H397" s="58" t="str">
        <x:v>Different estimand; see verification</x:v>
      </x:c>
      <x:c r="I397" s="58" t="str">
        <x:v>Not reported</x:v>
      </x:c>
      <x:c r="J397" s="57" t="n">
        <x:v>1</x:v>
      </x:c>
      <x:c r="K397" s="34" t="n">
        <x:v>0</x:v>
      </x:c>
      <x:c r="L397" s="34" t="n">
        <x:f>J397*K397</x:f>
        <x:v>0</x:v>
      </x:c>
      <x:c r="M397" s="33" t="str">
        <x:v>Different estimand</x:v>
      </x:c>
      <x:c r="N397" s="35" t="str">
        <x:v>Outputs estimate mean changes at target visits or the week-52 minus week-24 mean contrast, not changes in group medians or annual linear-trajectory slopes.</x:v>
      </x:c>
    </x:row>
    <x:row r="398" ht="48" customHeight="1">
      <x:c r="A398" s="32" t="str">
        <x:v>FR-0003</x:v>
      </x:c>
      <x:c r="B398" s="33" t="str">
        <x:v>BioMedAgent</x:v>
      </x:c>
      <x:c r="C398" s="33" t="str">
        <x:v>A08</x:v>
      </x:c>
      <x:c r="D398" s="33" t="str">
        <x:v>Injury-repair day-3 score: felzartamab minus placebo annual linear-trajectory slope difference</x:v>
      </x:c>
      <x:c r="E398" s="59" t="n">
        <x:v>-0.2</x:v>
      </x:c>
      <x:c r="F398" s="58" t="str">
        <x:v>[-0.37, -0.02]</x:v>
      </x:c>
      <x:c r="G398" s="59" t="n">
        <x:v>0.35</x:v>
      </x:c>
      <x:c r="H398" s="58" t="str">
        <x:v>Different estimand; see verification</x:v>
      </x:c>
      <x:c r="I398" s="58" t="str">
        <x:v>Not reported</x:v>
      </x:c>
      <x:c r="J398" s="57" t="n">
        <x:v>2</x:v>
      </x:c>
      <x:c r="K398" s="34" t="n">
        <x:v>0</x:v>
      </x:c>
      <x:c r="L398" s="34" t="n">
        <x:f>J398*K398</x:f>
        <x:v>0</x:v>
      </x:c>
      <x:c r="M398" s="33" t="str">
        <x:v>Different estimand</x:v>
      </x:c>
      <x:c r="N398" s="35" t="str">
        <x:v>Outputs estimate mean changes at target visits or the week-52 minus week-24 mean contrast, not changes in group medians or annual linear-trajectory slopes.</x:v>
      </x:c>
    </x:row>
    <x:row r="399" ht="48" customHeight="1">
      <x:c r="A399" s="32" t="str">
        <x:v>FR-0003</x:v>
      </x:c>
      <x:c r="B399" s="33" t="str">
        <x:v>BioMedAgent</x:v>
      </x:c>
      <x:c r="C399" s="33" t="str">
        <x:v>A09</x:v>
      </x:c>
      <x:c r="D399" s="33" t="str">
        <x:v>Injury-repair day-5 score: felzartamab minus placebo annual linear-trajectory slope difference</x:v>
      </x:c>
      <x:c r="E399" s="59" t="n">
        <x:v>-0.23</x:v>
      </x:c>
      <x:c r="F399" s="58" t="str">
        <x:v>[-0.41, -0.05]</x:v>
      </x:c>
      <x:c r="G399" s="59" t="n">
        <x:v>0.36</x:v>
      </x:c>
      <x:c r="H399" s="58" t="str">
        <x:v>Different estimand; see verification</x:v>
      </x:c>
      <x:c r="I399" s="58" t="str">
        <x:v>Not reported</x:v>
      </x:c>
      <x:c r="J399" s="57" t="n">
        <x:v>2</x:v>
      </x:c>
      <x:c r="K399" s="34" t="n">
        <x:v>0</x:v>
      </x:c>
      <x:c r="L399" s="34" t="n">
        <x:f>J399*K399</x:f>
        <x:v>0</x:v>
      </x:c>
      <x:c r="M399" s="33" t="str">
        <x:v>Different estimand</x:v>
      </x:c>
      <x:c r="N399" s="35" t="str">
        <x:v>Outputs estimate mean changes at target visits or the week-52 minus week-24 mean contrast, not changes in group medians or annual linear-trajectory slopes.</x:v>
      </x:c>
    </x:row>
    <x:row r="400" ht="54" customHeight="1">
      <x:c r="A400" s="32" t="str">
        <x:v>FR-0003</x:v>
      </x:c>
      <x:c r="B400" s="33" t="str">
        <x:v>BioMedAgent</x:v>
      </x:c>
      <x:c r="C400" s="33" t="str">
        <x:v>A10</x:v>
      </x:c>
      <x:c r="D400" s="33" t="str">
        <x:v>CXCL11: baseline-to-week-24 difference in log fold change under the published limma design (each arm change divided by 2)</x:v>
      </x:c>
      <x:c r="E400" s="59" t="n">
        <x:v>-0.85</x:v>
      </x:c>
      <x:c r="F400" s="58" t="str">
        <x:v>Not specified</x:v>
      </x:c>
      <x:c r="G400" s="59" t="n">
        <x:v>0.2</x:v>
      </x:c>
      <x:c r="H400" s="58" t="str">
        <x:v>No corresponding executed estimate</x:v>
      </x:c>
      <x:c r="I400" s="58" t="str">
        <x:v>Not reported</x:v>
      </x:c>
      <x:c r="J400" s="57" t="n">
        <x:v>1</x:v>
      </x:c>
      <x:c r="K400" s="34" t="n">
        <x:v>0</x:v>
      </x:c>
      <x:c r="L400" s="34" t="n">
        <x:f>J400*K400</x:f>
        <x:v>0</x:v>
      </x:c>
      <x:c r="M400" s="33" t="str">
        <x:v>Not answered</x:v>
      </x:c>
      <x:c r="N400" s="35" t="str">
        <x:v>No probe-level CXCL11 contrast, GSEA pathway count or top-20 gene-annotation count is executed.</x:v>
      </x:c>
    </x:row>
    <x:row r="401" ht="54" customHeight="1">
      <x:c r="A401" s="32" t="str">
        <x:v>FR-0003</x:v>
      </x:c>
      <x:c r="B401" s="33" t="str">
        <x:v>BioMedAgent</x:v>
      </x:c>
      <x:c r="C401" s="33" t="str">
        <x:v>A11</x:v>
      </x:c>
      <x:c r="D401" s="33" t="str">
        <x:v>Negatively enriched ABMR/immune pathways at FDR &lt;0.05 in the specified multi-database GSEA, baseline to week 24</x:v>
      </x:c>
      <x:c r="E401" s="57" t="n">
        <x:v>12</x:v>
      </x:c>
      <x:c r="F401" s="58" t="str">
        <x:v>Not specified</x:v>
      </x:c>
      <x:c r="G401" s="57" t="n">
        <x:v>1</x:v>
      </x:c>
      <x:c r="H401" s="58" t="str">
        <x:v>No corresponding executed estimate</x:v>
      </x:c>
      <x:c r="I401" s="58" t="str">
        <x:v>Not reported</x:v>
      </x:c>
      <x:c r="J401" s="57" t="n">
        <x:v>1</x:v>
      </x:c>
      <x:c r="K401" s="34" t="n">
        <x:v>0</x:v>
      </x:c>
      <x:c r="L401" s="34" t="n">
        <x:f>J401*K401</x:f>
        <x:v>0</x:v>
      </x:c>
      <x:c r="M401" s="33" t="str">
        <x:v>Not answered</x:v>
      </x:c>
      <x:c r="N401" s="35" t="str">
        <x:v>No probe-level CXCL11 contrast, GSEA pathway count or top-20 gene-annotation count is executed.</x:v>
      </x:c>
    </x:row>
    <x:row r="402" ht="54" customHeight="1">
      <x:c r="A402" s="32" t="str">
        <x:v>FR-0003</x:v>
      </x:c>
      <x:c r="B402" s="33" t="str">
        <x:v>BioMedAgent</x:v>
      </x:c>
      <x:c r="C402" s="33" t="str">
        <x:v>A12</x:v>
      </x:c>
      <x:c r="D402" s="33" t="str">
        <x:v>Genes annotated as injury-induced and downregulated among the top 20 genes ranked by unadjusted P, baseline to week 52</x:v>
      </x:c>
      <x:c r="E402" s="57" t="n">
        <x:v>17</x:v>
      </x:c>
      <x:c r="F402" s="58" t="str">
        <x:v>Not specified</x:v>
      </x:c>
      <x:c r="G402" s="57" t="n">
        <x:v>1</x:v>
      </x:c>
      <x:c r="H402" s="58" t="str">
        <x:v>No corresponding executed estimate</x:v>
      </x:c>
      <x:c r="I402" s="58" t="str">
        <x:v>Not reported</x:v>
      </x:c>
      <x:c r="J402" s="57" t="n">
        <x:v>1</x:v>
      </x:c>
      <x:c r="K402" s="34" t="n">
        <x:v>0</x:v>
      </x:c>
      <x:c r="L402" s="34" t="n">
        <x:f>J402*K402</x:f>
        <x:v>0</x:v>
      </x:c>
      <x:c r="M402" s="33" t="str">
        <x:v>Not answered</x:v>
      </x:c>
      <x:c r="N402" s="35" t="str">
        <x:v>No probe-level CXCL11 contrast, GSEA pathway count or top-20 gene-annotation count is executed.</x:v>
      </x:c>
    </x:row>
    <x:row r="403" ht="54" customHeight="1">
      <x:c r="A403" s="40" t="str">
        <x:v>FR-0004</x:v>
      </x:c>
      <x:c r="B403" s="41" t="str">
        <x:v>BioMedAgent</x:v>
      </x:c>
      <x:c r="C403" s="41" t="str">
        <x:v>A1</x:v>
      </x:c>
      <x:c r="D403" s="41" t="str">
        <x:v>adjusted difference in VF MD yearly slope (dB/year) per 1-SD higher basal PBMC OCR in the entire treated POAG cohort</x:v>
      </x:c>
      <x:c r="E403" s="60" t="n">
        <x:v>0.186</x:v>
      </x:c>
      <x:c r="F403" s="55" t="str">
        <x:v>[0.1174, 0.2546]</x:v>
      </x:c>
      <x:c r="G403" s="60" t="n">
        <x:v>0.1372</x:v>
      </x:c>
      <x:c r="H403" s="60" t="n">
        <x:v>0.02956232</x:v>
      </x:c>
      <x:c r="I403" s="55" t="str">
        <x:v>[-0.06779679, 0.12692143]</x:v>
      </x:c>
      <x:c r="J403" s="54" t="n">
        <x:v>2</x:v>
      </x:c>
      <x:c r="K403" s="56" t="n">
        <x:v>0.3333333333333333</x:v>
      </x:c>
      <x:c r="L403" s="56" t="n">
        <x:f>J403*K403</x:f>
        <x:v>0.6666666666666666</x:v>
      </x:c>
      <x:c r="M403" s="41" t="str">
        <x:v>Different method</x:v>
      </x:c>
      <x:c r="N403" s="41" t="str">
        <x:v>The full-cohort, marker-specific, patient-SD annual MD-slope contrast is comparable. The saved GEE estimate and interval determine the reproduction grade; covariate specification differs from the reference.</x:v>
      </x:c>
    </x:row>
    <x:row r="404" ht="48" customHeight="1">
      <x:c r="A404" s="32" t="str">
        <x:v>FR-0004</x:v>
      </x:c>
      <x:c r="B404" s="33" t="str">
        <x:v>BioMedAgent</x:v>
      </x:c>
      <x:c r="C404" s="33" t="str">
        <x:v>A2</x:v>
      </x:c>
      <x:c r="D404" s="33" t="str">
        <x:v>adjusted difference in VF MD yearly slope (dB/year) per 1-SD higher basal PBMC OCR among NTG eyes</x:v>
      </x:c>
      <x:c r="E404" s="59" t="n">
        <x:v>0.176</x:v>
      </x:c>
      <x:c r="F404" s="58" t="str">
        <x:v>[0.08388, 0.26812]</x:v>
      </x:c>
      <x:c r="G404" s="59" t="n">
        <x:v>0.18424</x:v>
      </x:c>
      <x:c r="H404" s="58" t="str">
        <x:v>No corresponding executed estimate</x:v>
      </x:c>
      <x:c r="I404" s="58" t="str">
        <x:v>Not reported</x:v>
      </x:c>
      <x:c r="J404" s="57" t="n">
        <x:v>1</x:v>
      </x:c>
      <x:c r="K404" s="34" t="n">
        <x:v>0</x:v>
      </x:c>
      <x:c r="L404" s="34" t="n">
        <x:f>J404*K404</x:f>
        <x:v>0</x:v>
      </x:c>
      <x:c r="M404" s="33" t="str">
        <x:v>Not answered</x:v>
      </x:c>
      <x:c r="N404" s="35" t="str">
        <x:v>No NTG/HTG-specific basal-OCR annual-slope contrast is executed.</x:v>
      </x:c>
    </x:row>
    <x:row r="405" ht="48" customHeight="1">
      <x:c r="A405" s="32" t="str">
        <x:v>FR-0004</x:v>
      </x:c>
      <x:c r="B405" s="33" t="str">
        <x:v>BioMedAgent</x:v>
      </x:c>
      <x:c r="C405" s="33" t="str">
        <x:v>A3</x:v>
      </x:c>
      <x:c r="D405" s="33" t="str">
        <x:v>adjusted difference in VF MD yearly slope (dB/year) per 1-SD higher basal PBMC OCR among HTG eyes</x:v>
      </x:c>
      <x:c r="E405" s="59" t="n">
        <x:v>0.197</x:v>
      </x:c>
      <x:c r="F405" s="58" t="str">
        <x:v>[0.07744, 0.31656]</x:v>
      </x:c>
      <x:c r="G405" s="59" t="n">
        <x:v>0.23912</x:v>
      </x:c>
      <x:c r="H405" s="58" t="str">
        <x:v>No corresponding executed estimate</x:v>
      </x:c>
      <x:c r="I405" s="58" t="str">
        <x:v>Not reported</x:v>
      </x:c>
      <x:c r="J405" s="57" t="n">
        <x:v>1</x:v>
      </x:c>
      <x:c r="K405" s="34" t="n">
        <x:v>0</x:v>
      </x:c>
      <x:c r="L405" s="34" t="n">
        <x:f>J405*K405</x:f>
        <x:v>0</x:v>
      </x:c>
      <x:c r="M405" s="33" t="str">
        <x:v>Not answered</x:v>
      </x:c>
      <x:c r="N405" s="35" t="str">
        <x:v>No NTG/HTG-specific basal-OCR annual-slope contrast is executed.</x:v>
      </x:c>
    </x:row>
    <x:row r="406" ht="54" customHeight="1">
      <x:c r="A406" s="32" t="str">
        <x:v>FR-0004</x:v>
      </x:c>
      <x:c r="B406" s="33" t="str">
        <x:v>BioMedAgent</x:v>
      </x:c>
      <x:c r="C406" s="33" t="str">
        <x:v>A4</x:v>
      </x:c>
      <x:c r="D406" s="33" t="str">
        <x:v>adjusted difference in VF MD yearly slope (dB/year) per 1-SD higher ATP-linked PBMC OCR in the entire treated POAG cohort</x:v>
      </x:c>
      <x:c r="E406" s="59" t="n">
        <x:v>0.199</x:v>
      </x:c>
      <x:c r="F406" s="58" t="str">
        <x:v>[0.13236, 0.26564]</x:v>
      </x:c>
      <x:c r="G406" s="59" t="n">
        <x:v>0.13328</x:v>
      </x:c>
      <x:c r="H406" s="59" t="n">
        <x:v>0.05612695</x:v>
      </x:c>
      <x:c r="I406" s="58" t="str">
        <x:v>[-0.03162791, 0.14388181]</x:v>
      </x:c>
      <x:c r="J406" s="57" t="n">
        <x:v>1</x:v>
      </x:c>
      <x:c r="K406" s="34" t="n">
        <x:v>0.3333333333333333</x:v>
      </x:c>
      <x:c r="L406" s="34" t="n">
        <x:f>J406*K406</x:f>
        <x:v>0.3333333333333333</x:v>
      </x:c>
      <x:c r="M406" s="33" t="str">
        <x:v>Different method</x:v>
      </x:c>
      <x:c r="N406" s="35" t="str">
        <x:v>The full-cohort, marker-specific, patient-SD annual MD-slope contrast is comparable. The saved GEE estimate and interval determine the reproduction grade; covariate specification differs from the reference.</x:v>
      </x:c>
    </x:row>
    <x:row r="407" ht="54" customHeight="1">
      <x:c r="A407" s="32" t="str">
        <x:v>FR-0004</x:v>
      </x:c>
      <x:c r="B407" s="33" t="str">
        <x:v>BioMedAgent</x:v>
      </x:c>
      <x:c r="C407" s="33" t="str">
        <x:v>A5</x:v>
      </x:c>
      <x:c r="D407" s="33" t="str">
        <x:v>adjusted difference in VF MD yearly slope (dB/year) per 1-SD higher maximal PBMC OCR in the entire treated POAG cohort</x:v>
      </x:c>
      <x:c r="E407" s="59" t="n">
        <x:v>0.123</x:v>
      </x:c>
      <x:c r="F407" s="58" t="str">
        <x:v>[0.05244, 0.19356]</x:v>
      </x:c>
      <x:c r="G407" s="59" t="n">
        <x:v>0.14112</x:v>
      </x:c>
      <x:c r="H407" s="59" t="n">
        <x:v>0.04389021</x:v>
      </x:c>
      <x:c r="I407" s="58" t="str">
        <x:v>[-0.08633254, 0.17411296]</x:v>
      </x:c>
      <x:c r="J407" s="57" t="n">
        <x:v>1</x:v>
      </x:c>
      <x:c r="K407" s="34" t="n">
        <x:v>0.6666666666666666</x:v>
      </x:c>
      <x:c r="L407" s="34" t="n">
        <x:f>J407*K407</x:f>
        <x:v>0.6666666666666666</x:v>
      </x:c>
      <x:c r="M407" s="33" t="str">
        <x:v>Comparable</x:v>
      </x:c>
      <x:c r="N407" s="35" t="str">
        <x:v>The full-cohort, marker-specific, patient-SD annual MD-slope contrast is comparable. The saved GEE estimate and interval determine the reproduction grade; covariate specification differs from the reference.</x:v>
      </x:c>
    </x:row>
    <x:row r="408" ht="54" customHeight="1">
      <x:c r="A408" s="32" t="str">
        <x:v>FR-0004</x:v>
      </x:c>
      <x:c r="B408" s="33" t="str">
        <x:v>BioMedAgent</x:v>
      </x:c>
      <x:c r="C408" s="33" t="str">
        <x:v>A6</x:v>
      </x:c>
      <x:c r="D408" s="33" t="str">
        <x:v>adjusted difference in VF MD yearly slope (dB/year) per 1-SD higher PBMC reserve capacity in the entire treated POAG cohort</x:v>
      </x:c>
      <x:c r="E408" s="59" t="n">
        <x:v>0.108</x:v>
      </x:c>
      <x:c r="F408" s="58" t="str">
        <x:v>[0.03744, 0.17856]</x:v>
      </x:c>
      <x:c r="G408" s="59" t="n">
        <x:v>0.14112</x:v>
      </x:c>
      <x:c r="H408" s="59" t="n">
        <x:v>0.04360099</x:v>
      </x:c>
      <x:c r="I408" s="58" t="str">
        <x:v>[-0.08922726, 0.17642924]</x:v>
      </x:c>
      <x:c r="J408" s="57" t="n">
        <x:v>1</x:v>
      </x:c>
      <x:c r="K408" s="34" t="n">
        <x:v>1</x:v>
      </x:c>
      <x:c r="L408" s="34" t="n">
        <x:f>J408*K408</x:f>
        <x:v>1</x:v>
      </x:c>
      <x:c r="M408" s="33" t="str">
        <x:v>Comparable</x:v>
      </x:c>
      <x:c r="N408" s="35" t="str">
        <x:v>The full-cohort, marker-specific, patient-SD annual MD-slope contrast is comparable. The saved GEE estimate and interval determine the reproduction grade; covariate specification differs from the reference.</x:v>
      </x:c>
    </x:row>
    <x:row r="409" ht="48" customHeight="1">
      <x:c r="A409" s="40" t="str">
        <x:v>FR-0005</x:v>
      </x:c>
      <x:c r="B409" s="41" t="str">
        <x:v>BioMedAgent</x:v>
      </x:c>
      <x:c r="C409" s="41" t="str">
        <x:v>A01</x:v>
      </x:c>
      <x:c r="D409" s="41" t="str">
        <x:v>Unique mother-child pairs in the infant cohort</x:v>
      </x:c>
      <x:c r="E409" s="54" t="n">
        <x:v>94</x:v>
      </x:c>
      <x:c r="F409" s="55" t="str">
        <x:v>Not specified</x:v>
      </x:c>
      <x:c r="G409" s="54" t="n">
        <x:v>0</x:v>
      </x:c>
      <x:c r="H409" s="54" t="n">
        <x:v>94</x:v>
      </x:c>
      <x:c r="I409" s="55" t="str">
        <x:v>Not reported</x:v>
      </x:c>
      <x:c r="J409" s="54" t="n">
        <x:v>1</x:v>
      </x:c>
      <x:c r="K409" s="56" t="n">
        <x:v>1</x:v>
      </x:c>
      <x:c r="L409" s="56" t="n">
        <x:f>J409*K409</x:f>
        <x:v>1</x:v>
      </x:c>
      <x:c r="M409" s="41" t="str">
        <x:v>Comparable</x:v>
      </x:c>
      <x:c r="N409" s="41" t="str">
        <x:v>An executed unique-pair audit records 94 mother-child pairs at delivery.</x:v>
      </x:c>
    </x:row>
    <x:row r="410" ht="48" customHeight="1">
      <x:c r="A410" s="32" t="str">
        <x:v>FR-0005</x:v>
      </x:c>
      <x:c r="B410" s="33" t="str">
        <x:v>BioMedAgent</x:v>
      </x:c>
      <x:c r="C410" s="33" t="str">
        <x:v>A02</x:v>
      </x:c>
      <x:c r="D410" s="33" t="str">
        <x:v>Infants with new exposure after 6 months under the published serological rule</x:v>
      </x:c>
      <x:c r="E410" s="57" t="n">
        <x:v>22</x:v>
      </x:c>
      <x:c r="F410" s="58" t="str">
        <x:v>Not specified</x:v>
      </x:c>
      <x:c r="G410" s="57" t="n">
        <x:v>0</x:v>
      </x:c>
      <x:c r="H410" s="58" t="str">
        <x:v>No corresponding executed estimate</x:v>
      </x:c>
      <x:c r="I410" s="58" t="str">
        <x:v>Not reported</x:v>
      </x:c>
      <x:c r="J410" s="57" t="n">
        <x:v>1</x:v>
      </x:c>
      <x:c r="K410" s="34" t="n">
        <x:v>0</x:v>
      </x:c>
      <x:c r="L410" s="34" t="n">
        <x:f>J410*K410</x:f>
        <x:v>0</x:v>
      </x:c>
      <x:c r="M410" s="33" t="str">
        <x:v>Not answered</x:v>
      </x:c>
      <x:c r="N410" s="35" t="str">
        <x:v>No executed numerical result answers this reference estimand.</x:v>
      </x:c>
    </x:row>
    <x:row r="411" ht="48" customHeight="1">
      <x:c r="A411" s="32" t="str">
        <x:v>FR-0005</x:v>
      </x:c>
      <x:c r="B411" s="33" t="str">
        <x:v>BioMedAgent</x:v>
      </x:c>
      <x:c r="C411" s="33" t="str">
        <x:v>A03</x:v>
      </x:c>
      <x:c r="D411" s="33" t="str">
        <x:v>Proportion with new serological exposure from month 6 to months 9/10/11</x:v>
      </x:c>
      <x:c r="E411" s="59" t="n">
        <x:v>0.23</x:v>
      </x:c>
      <x:c r="F411" s="58" t="str">
        <x:v>Not specified</x:v>
      </x:c>
      <x:c r="G411" s="59" t="n">
        <x:v>0.05</x:v>
      </x:c>
      <x:c r="H411" s="58" t="str">
        <x:v>No corresponding executed estimate</x:v>
      </x:c>
      <x:c r="I411" s="58" t="str">
        <x:v>Not reported</x:v>
      </x:c>
      <x:c r="J411" s="57" t="n">
        <x:v>1</x:v>
      </x:c>
      <x:c r="K411" s="34" t="n">
        <x:v>0</x:v>
      </x:c>
      <x:c r="L411" s="34" t="n">
        <x:f>J411*K411</x:f>
        <x:v>0</x:v>
      </x:c>
      <x:c r="M411" s="33" t="str">
        <x:v>Not answered</x:v>
      </x:c>
      <x:c r="N411" s="35" t="str">
        <x:v>No executed numerical result answers this reference estimand.</x:v>
      </x:c>
    </x:row>
    <x:row r="412" ht="48" customHeight="1">
      <x:c r="A412" s="32" t="str">
        <x:v>FR-0005</x:v>
      </x:c>
      <x:c r="B412" s="33" t="str">
        <x:v>BioMedAgent</x:v>
      </x:c>
      <x:c r="C412" s="33" t="str">
        <x:v>A04</x:v>
      </x:c>
      <x:c r="D412" s="33" t="str">
        <x:v>Participants in the SpyCATS baseline life-course IgG analysis</x:v>
      </x:c>
      <x:c r="E412" s="57" t="n">
        <x:v>413</x:v>
      </x:c>
      <x:c r="F412" s="58" t="str">
        <x:v>Not specified</x:v>
      </x:c>
      <x:c r="G412" s="57" t="n">
        <x:v>0</x:v>
      </x:c>
      <x:c r="H412" s="58" t="str">
        <x:v>No corresponding executed estimate</x:v>
      </x:c>
      <x:c r="I412" s="58" t="str">
        <x:v>Not reported</x:v>
      </x:c>
      <x:c r="J412" s="57" t="n">
        <x:v>1</x:v>
      </x:c>
      <x:c r="K412" s="34" t="n">
        <x:v>0</x:v>
      </x:c>
      <x:c r="L412" s="34" t="n">
        <x:f>J412*K412</x:f>
        <x:v>0</x:v>
      </x:c>
      <x:c r="M412" s="33" t="str">
        <x:v>Not answered</x:v>
      </x:c>
      <x:c r="N412" s="35" t="str">
        <x:v>No executed numerical result answers this reference estimand.</x:v>
      </x:c>
    </x:row>
    <x:row r="413" ht="48" customHeight="1">
      <x:c r="A413" s="32" t="str">
        <x:v>FR-0005</x:v>
      </x:c>
      <x:c r="B413" s="33" t="str">
        <x:v>BioMedAgent</x:v>
      </x:c>
      <x:c r="C413" s="33" t="str">
        <x:v>A05</x:v>
      </x:c>
      <x:c r="D413" s="33" t="str">
        <x:v>Minimum pairwise Pearson correlation among five antigen-specific IgG measures at baseline</x:v>
      </x:c>
      <x:c r="E413" s="59" t="n">
        <x:v>0.65</x:v>
      </x:c>
      <x:c r="F413" s="58" t="str">
        <x:v>Not specified</x:v>
      </x:c>
      <x:c r="G413" s="59" t="n">
        <x:v>0.1</x:v>
      </x:c>
      <x:c r="H413" s="58" t="str">
        <x:v>No corresponding executed estimate</x:v>
      </x:c>
      <x:c r="I413" s="58" t="str">
        <x:v>Not reported</x:v>
      </x:c>
      <x:c r="J413" s="57" t="n">
        <x:v>1</x:v>
      </x:c>
      <x:c r="K413" s="34" t="n">
        <x:v>0</x:v>
      </x:c>
      <x:c r="L413" s="34" t="n">
        <x:f>J413*K413</x:f>
        <x:v>0</x:v>
      </x:c>
      <x:c r="M413" s="33" t="str">
        <x:v>Not answered</x:v>
      </x:c>
      <x:c r="N413" s="35" t="str">
        <x:v>No executed numerical result answers this reference estimand.</x:v>
      </x:c>
    </x:row>
    <x:row r="414" ht="48" customHeight="1">
      <x:c r="A414" s="32" t="str">
        <x:v>FR-0005</x:v>
      </x:c>
      <x:c r="B414" s="33" t="str">
        <x:v>BioMedAgent</x:v>
      </x:c>
      <x:c r="C414" s="33" t="str">
        <x:v>A06</x:v>
      </x:c>
      <x:c r="D414" s="33" t="str">
        <x:v>Maximum pairwise Pearson correlation among five antigen-specific IgG measures at baseline</x:v>
      </x:c>
      <x:c r="E414" s="59" t="n">
        <x:v>0.86</x:v>
      </x:c>
      <x:c r="F414" s="58" t="str">
        <x:v>Not specified</x:v>
      </x:c>
      <x:c r="G414" s="59" t="n">
        <x:v>0.1</x:v>
      </x:c>
      <x:c r="H414" s="58" t="str">
        <x:v>No corresponding executed estimate</x:v>
      </x:c>
      <x:c r="I414" s="58" t="str">
        <x:v>Not reported</x:v>
      </x:c>
      <x:c r="J414" s="57" t="n">
        <x:v>1</x:v>
      </x:c>
      <x:c r="K414" s="34" t="n">
        <x:v>0</x:v>
      </x:c>
      <x:c r="L414" s="34" t="n">
        <x:f>J414*K414</x:f>
        <x:v>0</x:v>
      </x:c>
      <x:c r="M414" s="33" t="str">
        <x:v>Not answered</x:v>
      </x:c>
      <x:c r="N414" s="35" t="str">
        <x:v>No executed numerical result answers this reference estimand.</x:v>
      </x:c>
    </x:row>
    <x:row r="415" ht="48" customHeight="1">
      <x:c r="A415" s="32" t="str">
        <x:v>FR-0005</x:v>
      </x:c>
      <x:c r="B415" s="33" t="str">
        <x:v>BioMedAgent</x:v>
      </x:c>
      <x:c r="C415" s="33" t="str">
        <x:v>A07</x:v>
      </x:c>
      <x:c r="D415" s="33" t="str">
        <x:v>Culture-confirmed events with paired pre-event and post-event IgG</x:v>
      </x:c>
      <x:c r="E415" s="57" t="n">
        <x:v>150</x:v>
      </x:c>
      <x:c r="F415" s="58" t="str">
        <x:v>Not specified</x:v>
      </x:c>
      <x:c r="G415" s="57" t="n">
        <x:v>0</x:v>
      </x:c>
      <x:c r="H415" s="58" t="str">
        <x:v>No corresponding executed estimate</x:v>
      </x:c>
      <x:c r="I415" s="58" t="str">
        <x:v>Not reported</x:v>
      </x:c>
      <x:c r="J415" s="57" t="n">
        <x:v>1</x:v>
      </x:c>
      <x:c r="K415" s="34" t="n">
        <x:v>0</x:v>
      </x:c>
      <x:c r="L415" s="34" t="n">
        <x:f>J415*K415</x:f>
        <x:v>0</x:v>
      </x:c>
      <x:c r="M415" s="33" t="str">
        <x:v>Not answered</x:v>
      </x:c>
      <x:c r="N415" s="35" t="str">
        <x:v>No executed numerical result answers this reference estimand.</x:v>
      </x:c>
    </x:row>
    <x:row r="416" ht="48" customHeight="1">
      <x:c r="A416" s="32" t="str">
        <x:v>FR-0005</x:v>
      </x:c>
      <x:c r="B416" s="33" t="str">
        <x:v>BioMedAgent</x:v>
      </x:c>
      <x:c r="C416" s="33" t="str">
        <x:v>A08</x:v>
      </x:c>
      <x:c r="D416" s="33" t="str">
        <x:v>Minimum mean post-event log10 IgG increase across five antigens (log10 RLU/mL)</x:v>
      </x:c>
      <x:c r="E416" s="59" t="n">
        <x:v>0.1</x:v>
      </x:c>
      <x:c r="F416" s="58" t="str">
        <x:v>Not specified</x:v>
      </x:c>
      <x:c r="G416" s="59" t="n">
        <x:v>0.05</x:v>
      </x:c>
      <x:c r="H416" s="58" t="str">
        <x:v>No corresponding executed estimate</x:v>
      </x:c>
      <x:c r="I416" s="58" t="str">
        <x:v>Not reported</x:v>
      </x:c>
      <x:c r="J416" s="57" t="n">
        <x:v>1</x:v>
      </x:c>
      <x:c r="K416" s="34" t="n">
        <x:v>0</x:v>
      </x:c>
      <x:c r="L416" s="34" t="n">
        <x:f>J416*K416</x:f>
        <x:v>0</x:v>
      </x:c>
      <x:c r="M416" s="33" t="str">
        <x:v>Not answered</x:v>
      </x:c>
      <x:c r="N416" s="35" t="str">
        <x:v>No executed numerical result answers this reference estimand.</x:v>
      </x:c>
    </x:row>
    <x:row r="417" ht="48" customHeight="1">
      <x:c r="A417" s="32" t="str">
        <x:v>FR-0005</x:v>
      </x:c>
      <x:c r="B417" s="33" t="str">
        <x:v>BioMedAgent</x:v>
      </x:c>
      <x:c r="C417" s="33" t="str">
        <x:v>A09</x:v>
      </x:c>
      <x:c r="D417" s="33" t="str">
        <x:v>Maximum mean post-event log10 IgG increase across five antigens (log10 RLU/mL)</x:v>
      </x:c>
      <x:c r="E417" s="59" t="n">
        <x:v>0.19</x:v>
      </x:c>
      <x:c r="F417" s="58" t="str">
        <x:v>Not specified</x:v>
      </x:c>
      <x:c r="G417" s="59" t="n">
        <x:v>0.05</x:v>
      </x:c>
      <x:c r="H417" s="58" t="str">
        <x:v>No corresponding executed estimate</x:v>
      </x:c>
      <x:c r="I417" s="58" t="str">
        <x:v>Not reported</x:v>
      </x:c>
      <x:c r="J417" s="57" t="n">
        <x:v>1</x:v>
      </x:c>
      <x:c r="K417" s="34" t="n">
        <x:v>0</x:v>
      </x:c>
      <x:c r="L417" s="34" t="n">
        <x:f>J417*K417</x:f>
        <x:v>0</x:v>
      </x:c>
      <x:c r="M417" s="33" t="str">
        <x:v>Not answered</x:v>
      </x:c>
      <x:c r="N417" s="35" t="str">
        <x:v>No executed numerical result answers this reference estimand.</x:v>
      </x:c>
    </x:row>
    <x:row r="418" ht="48" customHeight="1">
      <x:c r="A418" s="32" t="str">
        <x:v>FR-0005</x:v>
      </x:c>
      <x:c r="B418" s="33" t="str">
        <x:v>BioMedAgent</x:v>
      </x:c>
      <x:c r="C418" s="33" t="str">
        <x:v>A10</x:v>
      </x:c>
      <x:c r="D418" s="33" t="str">
        <x:v>Minimum difference in post-event log10 IgG increase, age &lt;2 years minus adults, across five antigens</x:v>
      </x:c>
      <x:c r="E418" s="59" t="n">
        <x:v>0.25</x:v>
      </x:c>
      <x:c r="F418" s="58" t="str">
        <x:v>Not specified</x:v>
      </x:c>
      <x:c r="G418" s="59" t="n">
        <x:v>0.1</x:v>
      </x:c>
      <x:c r="H418" s="58" t="str">
        <x:v>No corresponding executed estimate</x:v>
      </x:c>
      <x:c r="I418" s="58" t="str">
        <x:v>Not reported</x:v>
      </x:c>
      <x:c r="J418" s="57" t="n">
        <x:v>1</x:v>
      </x:c>
      <x:c r="K418" s="34" t="n">
        <x:v>0</x:v>
      </x:c>
      <x:c r="L418" s="34" t="n">
        <x:f>J418*K418</x:f>
        <x:v>0</x:v>
      </x:c>
      <x:c r="M418" s="33" t="str">
        <x:v>Not answered</x:v>
      </x:c>
      <x:c r="N418" s="35" t="str">
        <x:v>No executed numerical result answers this reference estimand.</x:v>
      </x:c>
    </x:row>
    <x:row r="419" ht="48" customHeight="1">
      <x:c r="A419" s="32" t="str">
        <x:v>FR-0005</x:v>
      </x:c>
      <x:c r="B419" s="33" t="str">
        <x:v>BioMedAgent</x:v>
      </x:c>
      <x:c r="C419" s="33" t="str">
        <x:v>A11</x:v>
      </x:c>
      <x:c r="D419" s="33" t="str">
        <x:v>Maximum difference in post-event log10 IgG increase, age &lt;2 years minus adults, across five antigens</x:v>
      </x:c>
      <x:c r="E419" s="59" t="n">
        <x:v>0.54</x:v>
      </x:c>
      <x:c r="F419" s="58" t="str">
        <x:v>Not specified</x:v>
      </x:c>
      <x:c r="G419" s="59" t="n">
        <x:v>0.1</x:v>
      </x:c>
      <x:c r="H419" s="58" t="str">
        <x:v>No corresponding executed estimate</x:v>
      </x:c>
      <x:c r="I419" s="58" t="str">
        <x:v>Not reported</x:v>
      </x:c>
      <x:c r="J419" s="57" t="n">
        <x:v>1</x:v>
      </x:c>
      <x:c r="K419" s="34" t="n">
        <x:v>0</x:v>
      </x:c>
      <x:c r="L419" s="34" t="n">
        <x:f>J419*K419</x:f>
        <x:v>0</x:v>
      </x:c>
      <x:c r="M419" s="33" t="str">
        <x:v>Not answered</x:v>
      </x:c>
      <x:c r="N419" s="35" t="str">
        <x:v>No executed numerical result answers this reference estimand.</x:v>
      </x:c>
    </x:row>
    <x:row r="420" ht="54" customHeight="1">
      <x:c r="A420" s="32" t="str">
        <x:v>FR-0005</x:v>
      </x:c>
      <x:c r="B420" s="33" t="str">
        <x:v>BioMedAgent</x:v>
      </x:c>
      <x:c r="C420" s="33" t="str">
        <x:v>A12</x:v>
      </x:c>
      <x:c r="D420" s="33" t="str">
        <x:v>Unique participant-IgG measurement timepoints in the protection analysis</x:v>
      </x:c>
      <x:c r="E420" s="57" t="n">
        <x:v>1987</x:v>
      </x:c>
      <x:c r="F420" s="58" t="str">
        <x:v>Not specified</x:v>
      </x:c>
      <x:c r="G420" s="57" t="n">
        <x:v>0</x:v>
      </x:c>
      <x:c r="H420" s="57" t="n">
        <x:v>1851</x:v>
      </x:c>
      <x:c r="I420" s="58" t="str">
        <x:v>Not reported</x:v>
      </x:c>
      <x:c r="J420" s="57" t="n">
        <x:v>1</x:v>
      </x:c>
      <x:c r="K420" s="34" t="n">
        <x:v>0</x:v>
      </x:c>
      <x:c r="L420" s="34" t="n">
        <x:f>J420*K420</x:f>
        <x:v>0</x:v>
      </x:c>
      <x:c r="M420" s="33" t="str">
        <x:v>Different data selection</x:v>
      </x:c>
      <x:c r="N420" s="35" t="str">
        <x:v>The executed construction yields 1,851 nonzero subsequent risk intervals per antigen, distinct from 1,987 reference measurement timepoints and outside the 5% count tolerance.</x:v>
      </x:c>
    </x:row>
    <x:row r="421" ht="48" customHeight="1">
      <x:c r="A421" s="32" t="str">
        <x:v>FR-0005</x:v>
      </x:c>
      <x:c r="B421" s="33" t="str">
        <x:v>BioMedAgent</x:v>
      </x:c>
      <x:c r="C421" s="33" t="str">
        <x:v>A13</x:v>
      </x:c>
      <x:c r="D421" s="33" t="str">
        <x:v>Participants with at least one IgG measurement in the protection analysis</x:v>
      </x:c>
      <x:c r="E421" s="57" t="n">
        <x:v>431</x:v>
      </x:c>
      <x:c r="F421" s="58" t="str">
        <x:v>Not specified</x:v>
      </x:c>
      <x:c r="G421" s="57" t="n">
        <x:v>0</x:v>
      </x:c>
      <x:c r="H421" s="57" t="n">
        <x:v>430</x:v>
      </x:c>
      <x:c r="I421" s="58" t="str">
        <x:v>Not reported</x:v>
      </x:c>
      <x:c r="J421" s="57" t="n">
        <x:v>1</x:v>
      </x:c>
      <x:c r="K421" s="34" t="n">
        <x:v>0.6666666666666666</x:v>
      </x:c>
      <x:c r="L421" s="34" t="n">
        <x:f>J421*K421</x:f>
        <x:v>0.6666666666666666</x:v>
      </x:c>
      <x:c r="M421" s="33" t="str">
        <x:v>Comparable</x:v>
      </x:c>
      <x:c r="N421" s="35" t="str">
        <x:v>The executed risk-interval construction contains 430 participants versus 431 in the reference, within 5%. This credits a preprocessing count; all 15 model fits fail.</x:v>
      </x:c>
    </x:row>
    <x:row r="422" ht="48" customHeight="1">
      <x:c r="A422" s="32" t="str">
        <x:v>FR-0005</x:v>
      </x:c>
      <x:c r="B422" s="33" t="str">
        <x:v>BioMedAgent</x:v>
      </x:c>
      <x:c r="C422" s="33" t="str">
        <x:v>A15</x:v>
      </x:c>
      <x:c r="D422" s="33" t="str">
        <x:v>Follow-up records in the 45-day event-probability analysis</x:v>
      </x:c>
      <x:c r="E422" s="57" t="n">
        <x:v>4677</x:v>
      </x:c>
      <x:c r="F422" s="58" t="str">
        <x:v>Not specified</x:v>
      </x:c>
      <x:c r="G422" s="57" t="n">
        <x:v>0</x:v>
      </x:c>
      <x:c r="H422" s="58" t="str">
        <x:v>No corresponding executed estimate</x:v>
      </x:c>
      <x:c r="I422" s="58" t="str">
        <x:v>Not reported</x:v>
      </x:c>
      <x:c r="J422" s="57" t="n">
        <x:v>1</x:v>
      </x:c>
      <x:c r="K422" s="34" t="n">
        <x:v>0</x:v>
      </x:c>
      <x:c r="L422" s="34" t="n">
        <x:f>J422*K422</x:f>
        <x:v>0</x:v>
      </x:c>
      <x:c r="M422" s="33" t="str">
        <x:v>Not answered</x:v>
      </x:c>
      <x:c r="N422" s="35" t="str">
        <x:v>Only risk-time and event counts are produced; all model fits fail. Raw follow-up rows do not establish the 45-day probability analysis or a recurrent-event effect.</x:v>
      </x:c>
    </x:row>
    <x:row r="423" ht="54" customHeight="1">
      <x:c r="A423" s="32" t="str">
        <x:v>FR-0005</x:v>
      </x:c>
      <x:c r="B423" s="33" t="str">
        <x:v>BioMedAgent</x:v>
      </x:c>
      <x:c r="C423" s="33" t="str">
        <x:v>A16</x:v>
      </x:c>
      <x:c r="D423" s="33" t="str">
        <x:v>SpyCEP: OR for any culture-confirmed event within 45 days per 1 log10 RLU/mL higher IgG in the unsegmented model</x:v>
      </x:c>
      <x:c r="E423" s="59" t="n">
        <x:v>0.68</x:v>
      </x:c>
      <x:c r="F423" s="58" t="str">
        <x:v>[0.5, 0.92]</x:v>
      </x:c>
      <x:c r="G423" s="59" t="n">
        <x:v>0.42</x:v>
      </x:c>
      <x:c r="H423" s="58" t="str">
        <x:v>No corresponding executed estimate</x:v>
      </x:c>
      <x:c r="I423" s="58" t="str">
        <x:v>Not reported</x:v>
      </x:c>
      <x:c r="J423" s="57" t="n">
        <x:v>1</x:v>
      </x:c>
      <x:c r="K423" s="34" t="n">
        <x:v>0</x:v>
      </x:c>
      <x:c r="L423" s="34" t="n">
        <x:f>J423*K423</x:f>
        <x:v>0</x:v>
      </x:c>
      <x:c r="M423" s="33" t="str">
        <x:v>Not answered</x:v>
      </x:c>
      <x:c r="N423" s="35" t="str">
        <x:v>Only risk-time and event counts are produced; all model fits fail. Raw follow-up rows do not establish the 45-day probability analysis or a recurrent-event effect.</x:v>
      </x:c>
    </x:row>
    <x:row r="424" ht="48" customHeight="1">
      <x:c r="A424" s="32" t="str">
        <x:v>FR-0005</x:v>
      </x:c>
      <x:c r="B424" s="33" t="str">
        <x:v>BioMedAgent</x:v>
      </x:c>
      <x:c r="C424" s="33" t="str">
        <x:v>A17</x:v>
      </x:c>
      <x:c r="D424" s="33" t="str">
        <x:v>SLO: OR for any culture-confirmed event within 45 days per 1 log10 RLU/mL above the breakpoint</x:v>
      </x:c>
      <x:c r="E424" s="59" t="n">
        <x:v>0.06</x:v>
      </x:c>
      <x:c r="F424" s="58" t="str">
        <x:v>[0.01, 0.49]</x:v>
      </x:c>
      <x:c r="G424" s="59" t="n">
        <x:v>0.48</x:v>
      </x:c>
      <x:c r="H424" s="58" t="str">
        <x:v>No corresponding executed estimate</x:v>
      </x:c>
      <x:c r="I424" s="58" t="str">
        <x:v>Not reported</x:v>
      </x:c>
      <x:c r="J424" s="57" t="n">
        <x:v>2</x:v>
      </x:c>
      <x:c r="K424" s="34" t="n">
        <x:v>0</x:v>
      </x:c>
      <x:c r="L424" s="34" t="n">
        <x:f>J424*K424</x:f>
        <x:v>0</x:v>
      </x:c>
      <x:c r="M424" s="33" t="str">
        <x:v>Not answered</x:v>
      </x:c>
      <x:c r="N424" s="35" t="str">
        <x:v>Only risk-time and event counts are produced; all model fits fail. Raw follow-up rows do not establish the 45-day probability analysis or a recurrent-event effect.</x:v>
      </x:c>
    </x:row>
    <x:row r="425" ht="48" customHeight="1">
      <x:c r="A425" s="32" t="str">
        <x:v>FR-0005</x:v>
      </x:c>
      <x:c r="B425" s="33" t="str">
        <x:v>BioMedAgent</x:v>
      </x:c>
      <x:c r="C425" s="33" t="str">
        <x:v>A18</x:v>
      </x:c>
      <x:c r="D425" s="33" t="str">
        <x:v>SpyAD: OR for any culture-confirmed event within 45 days per 1 log10 RLU/mL above the breakpoint</x:v>
      </x:c>
      <x:c r="E425" s="59" t="n">
        <x:v>0.34</x:v>
      </x:c>
      <x:c r="F425" s="58" t="str">
        <x:v>[0.15, 0.77]</x:v>
      </x:c>
      <x:c r="G425" s="59" t="n">
        <x:v>0.62</x:v>
      </x:c>
      <x:c r="H425" s="58" t="str">
        <x:v>No corresponding executed estimate</x:v>
      </x:c>
      <x:c r="I425" s="58" t="str">
        <x:v>Not reported</x:v>
      </x:c>
      <x:c r="J425" s="57" t="n">
        <x:v>2</x:v>
      </x:c>
      <x:c r="K425" s="34" t="n">
        <x:v>0</x:v>
      </x:c>
      <x:c r="L425" s="34" t="n">
        <x:f>J425*K425</x:f>
        <x:v>0</x:v>
      </x:c>
      <x:c r="M425" s="33" t="str">
        <x:v>Not answered</x:v>
      </x:c>
      <x:c r="N425" s="35" t="str">
        <x:v>Only risk-time and event counts are produced; all model fits fail. Raw follow-up rows do not establish the 45-day probability analysis or a recurrent-event effect.</x:v>
      </x:c>
    </x:row>
    <x:row r="426" ht="48" customHeight="1">
      <x:c r="A426" s="32" t="str">
        <x:v>FR-0005</x:v>
      </x:c>
      <x:c r="B426" s="33" t="str">
        <x:v>BioMedAgent</x:v>
      </x:c>
      <x:c r="C426" s="33" t="str">
        <x:v>A19</x:v>
      </x:c>
      <x:c r="D426" s="33" t="str">
        <x:v>SpyCEP: OR for any culture-confirmed event within 45 days per 1 log10 RLU/mL above the breakpoint</x:v>
      </x:c>
      <x:c r="E426" s="59" t="n">
        <x:v>0.25</x:v>
      </x:c>
      <x:c r="F426" s="58" t="str">
        <x:v>[0.09, 0.68]</x:v>
      </x:c>
      <x:c r="G426" s="59" t="n">
        <x:v>0.59</x:v>
      </x:c>
      <x:c r="H426" s="58" t="str">
        <x:v>No corresponding executed estimate</x:v>
      </x:c>
      <x:c r="I426" s="58" t="str">
        <x:v>Not reported</x:v>
      </x:c>
      <x:c r="J426" s="57" t="n">
        <x:v>2</x:v>
      </x:c>
      <x:c r="K426" s="34" t="n">
        <x:v>0</x:v>
      </x:c>
      <x:c r="L426" s="34" t="n">
        <x:f>J426*K426</x:f>
        <x:v>0</x:v>
      </x:c>
      <x:c r="M426" s="33" t="str">
        <x:v>Not answered</x:v>
      </x:c>
      <x:c r="N426" s="35" t="str">
        <x:v>Only risk-time and event counts are produced; all model fits fail. Raw follow-up rows do not establish the 45-day probability analysis or a recurrent-event effect.</x:v>
      </x:c>
    </x:row>
    <x:row r="427" ht="48" customHeight="1">
      <x:c r="A427" s="32" t="str">
        <x:v>FR-0005</x:v>
      </x:c>
      <x:c r="B427" s="33" t="str">
        <x:v>BioMedAgent</x:v>
      </x:c>
      <x:c r="C427" s="33" t="str">
        <x:v>A20</x:v>
      </x:c>
      <x:c r="D427" s="33" t="str">
        <x:v>SLO: putative 50% protective IgG threshold (RLU/mL)</x:v>
      </x:c>
      <x:c r="E427" s="57" t="n">
        <x:v>39209</x:v>
      </x:c>
      <x:c r="F427" s="58" t="str">
        <x:v>[34037, 45904]</x:v>
      </x:c>
      <x:c r="G427" s="57" t="n">
        <x:v>11867</x:v>
      </x:c>
      <x:c r="H427" s="58" t="str">
        <x:v>No corresponding executed estimate</x:v>
      </x:c>
      <x:c r="I427" s="58" t="str">
        <x:v>Not reported</x:v>
      </x:c>
      <x:c r="J427" s="57" t="n">
        <x:v>1</x:v>
      </x:c>
      <x:c r="K427" s="34" t="n">
        <x:v>0</x:v>
      </x:c>
      <x:c r="L427" s="34" t="n">
        <x:f>J427*K427</x:f>
        <x:v>0</x:v>
      </x:c>
      <x:c r="M427" s="33" t="str">
        <x:v>Not answered</x:v>
      </x:c>
      <x:c r="N427" s="35" t="str">
        <x:v>No executed numerical result answers this reference estimand.</x:v>
      </x:c>
    </x:row>
    <x:row r="428" ht="48" customHeight="1">
      <x:c r="A428" s="32" t="str">
        <x:v>FR-0005</x:v>
      </x:c>
      <x:c r="B428" s="33" t="str">
        <x:v>BioMedAgent</x:v>
      </x:c>
      <x:c r="C428" s="33" t="str">
        <x:v>A21</x:v>
      </x:c>
      <x:c r="D428" s="33" t="str">
        <x:v>SpyAD: putative 50% protective IgG threshold (RLU/mL)</x:v>
      </x:c>
      <x:c r="E428" s="57" t="n">
        <x:v>65454</x:v>
      </x:c>
      <x:c r="F428" s="58" t="str">
        <x:v>[54748, 89448]</x:v>
      </x:c>
      <x:c r="G428" s="57" t="n">
        <x:v>34700</x:v>
      </x:c>
      <x:c r="H428" s="58" t="str">
        <x:v>No corresponding executed estimate</x:v>
      </x:c>
      <x:c r="I428" s="58" t="str">
        <x:v>Not reported</x:v>
      </x:c>
      <x:c r="J428" s="57" t="n">
        <x:v>1</x:v>
      </x:c>
      <x:c r="K428" s="34" t="n">
        <x:v>0</x:v>
      </x:c>
      <x:c r="L428" s="34" t="n">
        <x:f>J428*K428</x:f>
        <x:v>0</x:v>
      </x:c>
      <x:c r="M428" s="33" t="str">
        <x:v>Not answered</x:v>
      </x:c>
      <x:c r="N428" s="35" t="str">
        <x:v>No executed numerical result answers this reference estimand.</x:v>
      </x:c>
    </x:row>
    <x:row r="429" ht="48" customHeight="1">
      <x:c r="A429" s="32" t="str">
        <x:v>FR-0005</x:v>
      </x:c>
      <x:c r="B429" s="33" t="str">
        <x:v>BioMedAgent</x:v>
      </x:c>
      <x:c r="C429" s="33" t="str">
        <x:v>A22</x:v>
      </x:c>
      <x:c r="D429" s="33" t="str">
        <x:v>SpyCEP: putative 50% protective IgG threshold (RLU/mL)</x:v>
      </x:c>
      <x:c r="E429" s="57" t="n">
        <x:v>70643</x:v>
      </x:c>
      <x:c r="F429" s="58" t="str">
        <x:v>[61509, 82577]</x:v>
      </x:c>
      <x:c r="G429" s="57" t="n">
        <x:v>21068</x:v>
      </x:c>
      <x:c r="H429" s="58" t="str">
        <x:v>No corresponding executed estimate</x:v>
      </x:c>
      <x:c r="I429" s="58" t="str">
        <x:v>Not reported</x:v>
      </x:c>
      <x:c r="J429" s="57" t="n">
        <x:v>1</x:v>
      </x:c>
      <x:c r="K429" s="34" t="n">
        <x:v>0</x:v>
      </x:c>
      <x:c r="L429" s="34" t="n">
        <x:f>J429*K429</x:f>
        <x:v>0</x:v>
      </x:c>
      <x:c r="M429" s="33" t="str">
        <x:v>Not answered</x:v>
      </x:c>
      <x:c r="N429" s="35" t="str">
        <x:v>No executed numerical result answers this reference estimand.</x:v>
      </x:c>
    </x:row>
    <x:row r="430" ht="48" customHeight="1">
      <x:c r="A430" s="32" t="str">
        <x:v>FR-0005</x:v>
      </x:c>
      <x:c r="B430" s="33" t="str">
        <x:v>BioMedAgent</x:v>
      </x:c>
      <x:c r="C430" s="33" t="str">
        <x:v>A23</x:v>
      </x:c>
      <x:c r="D430" s="33" t="str">
        <x:v>Participants with baseline IgG above the SLO 50% protective threshold</x:v>
      </x:c>
      <x:c r="E430" s="57" t="n">
        <x:v>44</x:v>
      </x:c>
      <x:c r="F430" s="58" t="str">
        <x:v>Not specified</x:v>
      </x:c>
      <x:c r="G430" s="57" t="n">
        <x:v>0</x:v>
      </x:c>
      <x:c r="H430" s="58" t="str">
        <x:v>No corresponding executed estimate</x:v>
      </x:c>
      <x:c r="I430" s="58" t="str">
        <x:v>Not reported</x:v>
      </x:c>
      <x:c r="J430" s="57" t="n">
        <x:v>1</x:v>
      </x:c>
      <x:c r="K430" s="34" t="n">
        <x:v>0</x:v>
      </x:c>
      <x:c r="L430" s="34" t="n">
        <x:f>J430*K430</x:f>
        <x:v>0</x:v>
      </x:c>
      <x:c r="M430" s="33" t="str">
        <x:v>Not answered</x:v>
      </x:c>
      <x:c r="N430" s="35" t="str">
        <x:v>No executed numerical result answers this reference estimand.</x:v>
      </x:c>
    </x:row>
    <x:row r="431" ht="48" customHeight="1">
      <x:c r="A431" s="32" t="str">
        <x:v>FR-0005</x:v>
      </x:c>
      <x:c r="B431" s="33" t="str">
        <x:v>BioMedAgent</x:v>
      </x:c>
      <x:c r="C431" s="33" t="str">
        <x:v>A24</x:v>
      </x:c>
      <x:c r="D431" s="33" t="str">
        <x:v>Participants with baseline IgG above the SpyAD 50% protective threshold</x:v>
      </x:c>
      <x:c r="E431" s="57" t="n">
        <x:v>43</x:v>
      </x:c>
      <x:c r="F431" s="58" t="str">
        <x:v>Not specified</x:v>
      </x:c>
      <x:c r="G431" s="57" t="n">
        <x:v>0</x:v>
      </x:c>
      <x:c r="H431" s="58" t="str">
        <x:v>No corresponding executed estimate</x:v>
      </x:c>
      <x:c r="I431" s="58" t="str">
        <x:v>Not reported</x:v>
      </x:c>
      <x:c r="J431" s="57" t="n">
        <x:v>1</x:v>
      </x:c>
      <x:c r="K431" s="34" t="n">
        <x:v>0</x:v>
      </x:c>
      <x:c r="L431" s="34" t="n">
        <x:f>J431*K431</x:f>
        <x:v>0</x:v>
      </x:c>
      <x:c r="M431" s="33" t="str">
        <x:v>Not answered</x:v>
      </x:c>
      <x:c r="N431" s="35" t="str">
        <x:v>No executed numerical result answers this reference estimand.</x:v>
      </x:c>
    </x:row>
    <x:row r="432" ht="48" customHeight="1">
      <x:c r="A432" s="32" t="str">
        <x:v>FR-0005</x:v>
      </x:c>
      <x:c r="B432" s="33" t="str">
        <x:v>BioMedAgent</x:v>
      </x:c>
      <x:c r="C432" s="33" t="str">
        <x:v>A25</x:v>
      </x:c>
      <x:c r="D432" s="33" t="str">
        <x:v>Participants with baseline IgG above the SpyCEP 50% protective threshold</x:v>
      </x:c>
      <x:c r="E432" s="57" t="n">
        <x:v>66</x:v>
      </x:c>
      <x:c r="F432" s="58" t="str">
        <x:v>Not specified</x:v>
      </x:c>
      <x:c r="G432" s="57" t="n">
        <x:v>0</x:v>
      </x:c>
      <x:c r="H432" s="58" t="str">
        <x:v>No corresponding executed estimate</x:v>
      </x:c>
      <x:c r="I432" s="58" t="str">
        <x:v>Not reported</x:v>
      </x:c>
      <x:c r="J432" s="57" t="n">
        <x:v>1</x:v>
      </x:c>
      <x:c r="K432" s="34" t="n">
        <x:v>0</x:v>
      </x:c>
      <x:c r="L432" s="34" t="n">
        <x:f>J432*K432</x:f>
        <x:v>0</x:v>
      </x:c>
      <x:c r="M432" s="33" t="str">
        <x:v>Not answered</x:v>
      </x:c>
      <x:c r="N432" s="35" t="str">
        <x:v>No executed numerical result answers this reference estimand.</x:v>
      </x:c>
    </x:row>
    <x:row r="433" ht="48" customHeight="1">
      <x:c r="A433" s="32" t="str">
        <x:v>FR-0005</x:v>
      </x:c>
      <x:c r="B433" s="33" t="str">
        <x:v>BioMedAgent</x:v>
      </x:c>
      <x:c r="C433" s="33" t="str">
        <x:v>A26</x:v>
      </x:c>
      <x:c r="D433" s="33" t="str">
        <x:v>OR for a 45-day event with high responses to at least two versus one antigen at the 33% threshold</x:v>
      </x:c>
      <x:c r="E433" s="59" t="n">
        <x:v>0.47</x:v>
      </x:c>
      <x:c r="F433" s="58" t="str">
        <x:v>[0.25, 0.86]</x:v>
      </x:c>
      <x:c r="G433" s="59" t="n">
        <x:v>0.61</x:v>
      </x:c>
      <x:c r="H433" s="58" t="str">
        <x:v>No corresponding executed estimate</x:v>
      </x:c>
      <x:c r="I433" s="58" t="str">
        <x:v>Not reported</x:v>
      </x:c>
      <x:c r="J433" s="57" t="n">
        <x:v>1</x:v>
      </x:c>
      <x:c r="K433" s="34" t="n">
        <x:v>0</x:v>
      </x:c>
      <x:c r="L433" s="34" t="n">
        <x:f>J433*K433</x:f>
        <x:v>0</x:v>
      </x:c>
      <x:c r="M433" s="33" t="str">
        <x:v>Not answered</x:v>
      </x:c>
      <x:c r="N433" s="35" t="str">
        <x:v>No executed numerical result answers this reference estimand.</x:v>
      </x:c>
    </x:row>
    <x:row r="434" ht="48" customHeight="1">
      <x:c r="A434" s="32" t="str">
        <x:v>FR-0005</x:v>
      </x:c>
      <x:c r="B434" s="33" t="str">
        <x:v>BioMedAgent</x:v>
      </x:c>
      <x:c r="C434" s="33" t="str">
        <x:v>A27</x:v>
      </x:c>
      <x:c r="D434" s="33" t="str">
        <x:v>Any culture-confirmed events in the fully adjusted Andersen-Gill model</x:v>
      </x:c>
      <x:c r="E434" s="57" t="n">
        <x:v>165</x:v>
      </x:c>
      <x:c r="F434" s="58" t="str">
        <x:v>Not specified</x:v>
      </x:c>
      <x:c r="G434" s="57" t="n">
        <x:v>0</x:v>
      </x:c>
      <x:c r="H434" s="58" t="str">
        <x:v>No corresponding executed estimate</x:v>
      </x:c>
      <x:c r="I434" s="58" t="str">
        <x:v>Not reported</x:v>
      </x:c>
      <x:c r="J434" s="57" t="n">
        <x:v>1</x:v>
      </x:c>
      <x:c r="K434" s="34" t="n">
        <x:v>0</x:v>
      </x:c>
      <x:c r="L434" s="34" t="n">
        <x:f>J434*K434</x:f>
        <x:v>0</x:v>
      </x:c>
      <x:c r="M434" s="33" t="str">
        <x:v>Not answered</x:v>
      </x:c>
      <x:c r="N434" s="35" t="str">
        <x:v>Only risk-time and event counts are produced; all model fits fail. Raw follow-up rows do not establish the 45-day probability analysis or a recurrent-event effect.</x:v>
      </x:c>
    </x:row>
    <x:row r="435" ht="67.5" customHeight="1">
      <x:c r="A435" s="32" t="str">
        <x:v>FR-0005</x:v>
      </x:c>
      <x:c r="B435" s="33" t="str">
        <x:v>BioMedAgent</x:v>
      </x:c>
      <x:c r="C435" s="33" t="str">
        <x:v>A28</x:v>
      </x:c>
      <x:c r="D435" s="33" t="str">
        <x:v>SLO: HR for any culture-confirmed event per 1 log10 IgG above the breakpoint, adjusted for age group, sex and household size with repeated/household clustering</x:v>
      </x:c>
      <x:c r="E435" s="59" t="n">
        <x:v>0.04</x:v>
      </x:c>
      <x:c r="F435" s="58" t="str">
        <x:v>[0.01, 0.23]</x:v>
      </x:c>
      <x:c r="G435" s="59" t="n">
        <x:v>0.22</x:v>
      </x:c>
      <x:c r="H435" s="58" t="str">
        <x:v>No corresponding executed estimate</x:v>
      </x:c>
      <x:c r="I435" s="58" t="str">
        <x:v>Not reported</x:v>
      </x:c>
      <x:c r="J435" s="57" t="n">
        <x:v>2</x:v>
      </x:c>
      <x:c r="K435" s="34" t="n">
        <x:v>0</x:v>
      </x:c>
      <x:c r="L435" s="34" t="n">
        <x:f>J435*K435</x:f>
        <x:v>0</x:v>
      </x:c>
      <x:c r="M435" s="33" t="str">
        <x:v>Not answered</x:v>
      </x:c>
      <x:c r="N435" s="35" t="str">
        <x:v>Only risk-time and event counts are produced; all model fits fail. Raw follow-up rows do not establish the 45-day probability analysis or a recurrent-event effect.</x:v>
      </x:c>
    </x:row>
    <x:row r="436" ht="54" customHeight="1">
      <x:c r="A436" s="32" t="str">
        <x:v>FR-0005</x:v>
      </x:c>
      <x:c r="B436" s="33" t="str">
        <x:v>BioMedAgent</x:v>
      </x:c>
      <x:c r="C436" s="33" t="str">
        <x:v>A29</x:v>
      </x:c>
      <x:c r="D436" s="33" t="str">
        <x:v>SpyAD: HR for any culture-confirmed event per 1 log10 IgG above the breakpoint under the fully adjusted model</x:v>
      </x:c>
      <x:c r="E436" s="59" t="n">
        <x:v>0.29</x:v>
      </x:c>
      <x:c r="F436" s="58" t="str">
        <x:v>[0.16, 0.53]</x:v>
      </x:c>
      <x:c r="G436" s="59" t="n">
        <x:v>0.37</x:v>
      </x:c>
      <x:c r="H436" s="58" t="str">
        <x:v>No corresponding executed estimate</x:v>
      </x:c>
      <x:c r="I436" s="58" t="str">
        <x:v>Not reported</x:v>
      </x:c>
      <x:c r="J436" s="57" t="n">
        <x:v>2</x:v>
      </x:c>
      <x:c r="K436" s="34" t="n">
        <x:v>0</x:v>
      </x:c>
      <x:c r="L436" s="34" t="n">
        <x:f>J436*K436</x:f>
        <x:v>0</x:v>
      </x:c>
      <x:c r="M436" s="33" t="str">
        <x:v>Not answered</x:v>
      </x:c>
      <x:c r="N436" s="35" t="str">
        <x:v>Only risk-time and event counts are produced; all model fits fail. Raw follow-up rows do not establish the 45-day probability analysis or a recurrent-event effect.</x:v>
      </x:c>
    </x:row>
    <x:row r="437" ht="54" customHeight="1">
      <x:c r="A437" s="32" t="str">
        <x:v>FR-0005</x:v>
      </x:c>
      <x:c r="B437" s="33" t="str">
        <x:v>BioMedAgent</x:v>
      </x:c>
      <x:c r="C437" s="33" t="str">
        <x:v>A30</x:v>
      </x:c>
      <x:c r="D437" s="33" t="str">
        <x:v>SpyCEP: HR for any culture-confirmed event per 1 log10 IgG above the breakpoint under the fully adjusted model</x:v>
      </x:c>
      <x:c r="E437" s="59" t="n">
        <x:v>0.38</x:v>
      </x:c>
      <x:c r="F437" s="58" t="str">
        <x:v>[0.16, 0.9]</x:v>
      </x:c>
      <x:c r="G437" s="59" t="n">
        <x:v>0.74</x:v>
      </x:c>
      <x:c r="H437" s="58" t="str">
        <x:v>No corresponding executed estimate</x:v>
      </x:c>
      <x:c r="I437" s="58" t="str">
        <x:v>Not reported</x:v>
      </x:c>
      <x:c r="J437" s="57" t="n">
        <x:v>2</x:v>
      </x:c>
      <x:c r="K437" s="34" t="n">
        <x:v>0</x:v>
      </x:c>
      <x:c r="L437" s="34" t="n">
        <x:f>J437*K437</x:f>
        <x:v>0</x:v>
      </x:c>
      <x:c r="M437" s="33" t="str">
        <x:v>Not answered</x:v>
      </x:c>
      <x:c r="N437" s="35" t="str">
        <x:v>Only risk-time and event counts are produced; all model fits fail. Raw follow-up rows do not establish the 45-day probability analysis or a recurrent-event effect.</x:v>
      </x:c>
    </x:row>
    <x:row r="438" ht="48" customHeight="1">
      <x:c r="A438" s="32" t="str">
        <x:v>FR-0005</x:v>
      </x:c>
      <x:c r="B438" s="33" t="str">
        <x:v>BioMedAgent</x:v>
      </x:c>
      <x:c r="C438" s="33" t="str">
        <x:v>A31</x:v>
      </x:c>
      <x:c r="D438" s="33" t="str">
        <x:v>SLO: HR for culture-confirmed carriage in the fully adjusted Andersen-Gill model</x:v>
      </x:c>
      <x:c r="E438" s="59" t="n">
        <x:v>0.01</x:v>
      </x:c>
      <x:c r="F438" s="58" t="str">
        <x:v>[0, 0.13]</x:v>
      </x:c>
      <x:c r="G438" s="59" t="n">
        <x:v>0.13</x:v>
      </x:c>
      <x:c r="H438" s="58" t="str">
        <x:v>No corresponding executed estimate</x:v>
      </x:c>
      <x:c r="I438" s="58" t="str">
        <x:v>Not reported</x:v>
      </x:c>
      <x:c r="J438" s="57" t="n">
        <x:v>1</x:v>
      </x:c>
      <x:c r="K438" s="34" t="n">
        <x:v>0</x:v>
      </x:c>
      <x:c r="L438" s="34" t="n">
        <x:f>J438*K438</x:f>
        <x:v>0</x:v>
      </x:c>
      <x:c r="M438" s="33" t="str">
        <x:v>Not answered</x:v>
      </x:c>
      <x:c r="N438" s="35" t="str">
        <x:v>Only risk-time and event counts are produced; all model fits fail. Raw follow-up rows do not establish the 45-day probability analysis or a recurrent-event effect.</x:v>
      </x:c>
    </x:row>
    <x:row r="439" ht="48" customHeight="1">
      <x:c r="A439" s="32" t="str">
        <x:v>FR-0005</x:v>
      </x:c>
      <x:c r="B439" s="33" t="str">
        <x:v>BioMedAgent</x:v>
      </x:c>
      <x:c r="C439" s="33" t="str">
        <x:v>A32</x:v>
      </x:c>
      <x:c r="D439" s="33" t="str">
        <x:v>SpyAD: HR for culture-confirmed carriage in the fully adjusted Andersen-Gill model</x:v>
      </x:c>
      <x:c r="E439" s="59" t="n">
        <x:v>0.18</x:v>
      </x:c>
      <x:c r="F439" s="58" t="str">
        <x:v>[0.08, 0.41]</x:v>
      </x:c>
      <x:c r="G439" s="59" t="n">
        <x:v>0.33</x:v>
      </x:c>
      <x:c r="H439" s="58" t="str">
        <x:v>No corresponding executed estimate</x:v>
      </x:c>
      <x:c r="I439" s="58" t="str">
        <x:v>Not reported</x:v>
      </x:c>
      <x:c r="J439" s="57" t="n">
        <x:v>1</x:v>
      </x:c>
      <x:c r="K439" s="34" t="n">
        <x:v>0</x:v>
      </x:c>
      <x:c r="L439" s="34" t="n">
        <x:f>J439*K439</x:f>
        <x:v>0</x:v>
      </x:c>
      <x:c r="M439" s="33" t="str">
        <x:v>Not answered</x:v>
      </x:c>
      <x:c r="N439" s="35" t="str">
        <x:v>Only risk-time and event counts are produced; all model fits fail. Raw follow-up rows do not establish the 45-day probability analysis or a recurrent-event effect.</x:v>
      </x:c>
    </x:row>
    <x:row r="440" ht="48" customHeight="1">
      <x:c r="A440" s="36" t="str">
        <x:v>FR-0005</x:v>
      </x:c>
      <x:c r="B440" s="37" t="str">
        <x:v>BioMedAgent</x:v>
      </x:c>
      <x:c r="C440" s="37" t="str">
        <x:v>A33</x:v>
      </x:c>
      <x:c r="D440" s="37" t="str">
        <x:v>SpyCEP: HR for culture-confirmed carriage in the fully adjusted Andersen-Gill model</x:v>
      </x:c>
      <x:c r="E440" s="61" t="n">
        <x:v>0.2</x:v>
      </x:c>
      <x:c r="F440" s="62" t="str">
        <x:v>[0.09, 0.49]</x:v>
      </x:c>
      <x:c r="G440" s="61" t="n">
        <x:v>0.4</x:v>
      </x:c>
      <x:c r="H440" s="62" t="str">
        <x:v>No corresponding executed estimate</x:v>
      </x:c>
      <x:c r="I440" s="62" t="str">
        <x:v>Not reported</x:v>
      </x:c>
      <x:c r="J440" s="63" t="n">
        <x:v>1</x:v>
      </x:c>
      <x:c r="K440" s="38" t="n">
        <x:v>0</x:v>
      </x:c>
      <x:c r="L440" s="38" t="n">
        <x:f>J440*K440</x:f>
        <x:v>0</x:v>
      </x:c>
      <x:c r="M440" s="37" t="str">
        <x:v>Not answered</x:v>
      </x:c>
      <x:c r="N440" s="39" t="str">
        <x:v>Only risk-time and event counts are produced; all model fits fail. Raw follow-up rows do not establish the 45-day probability analysis or a recurrent-event effect.</x:v>
      </x:c>
    </x:row>
  </x:sheetData>
  <x:mergeCells>
    <x:mergeCell ref="A1:N1"/>
  </x:mergeCells>
  <x:pageMargins left="0.7" right="0.7" top="0.75" bottom="0.75" header="0.3" footer="0.3"/>
  <x:tableParts count="1">
    <x:tablePart xmlns:r="http://schemas.openxmlformats.org/officeDocument/2006/relationships" r:id="R816c9110a4434677"/>
  </x:tableParts>
</x:worksheet>
</file>

<file path=xl/worksheets/sheet4.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12.220000267028809" hidden="0" customWidth="1"/>
    <x:col min="2" max="2" width="16.670000076293945" hidden="0" customWidth="1"/>
    <x:col min="3" max="3" width="9.4399995803833" hidden="0" customWidth="1"/>
    <x:col min="4" max="4" width="30.559999465942383" hidden="0" customWidth="1"/>
    <x:col min="5" max="5" width="40" hidden="0" customWidth="1"/>
    <x:col min="6" max="6" width="60" hidden="0" customWidth="1"/>
    <x:col min="7" max="7" width="11.109999656677246" hidden="0" customWidth="1"/>
    <x:col min="8" max="8" width="66.66999816894531" hidden="0" customWidth="1"/>
  </x:cols>
  <x:sheetData>
    <x:row r="1" ht="36" customHeight="1">
      <x:c r="A1" s="6" t="str">
        <x:v>Table S8. F3 Exceeding: designated additional findings and supporting evidence.</x:v>
      </x:c>
      <x:c r="B1" s="6"/>
      <x:c r="C1" s="6"/>
      <x:c r="D1" s="6"/>
      <x:c r="E1" s="6"/>
      <x:c r="F1" s="6"/>
      <x:c r="G1" s="6"/>
      <x:c r="H1" s="6"/>
    </x:row>
    <x:row r="2" ht="40.5" customHeight="1">
      <x:c r="A2" s="13" t="str">
        <x:v>Task ID</x:v>
      </x:c>
      <x:c r="B2" s="14" t="str">
        <x:v>Agent</x:v>
      </x:c>
      <x:c r="C2" s="14" t="str">
        <x:v>Slot</x:v>
      </x:c>
      <x:c r="D2" s="14" t="str">
        <x:v>Additional claim</x:v>
      </x:c>
      <x:c r="E2" s="14" t="str">
        <x:v>Relation to reference findings</x:v>
      </x:c>
      <x:c r="F2" s="14" t="str">
        <x:v>Executed result</x:v>
      </x:c>
      <x:c r="G2" t="str" s="14">
        <x:v>Item score (0, 0.5, 1)</x:v>
      </x:c>
      <x:c r="H2" s="15" t="str">
        <x:v>Verification and interpretation</x:v>
      </x:c>
    </x:row>
    <x:row r="3" ht="48" customHeight="1">
      <x:c r="A3" s="40" t="str">
        <x:v>FR-0001</x:v>
      </x:c>
      <x:c r="B3" s="41" t="str">
        <x:v>AutoBA</x:v>
      </x:c>
      <x:c r="C3" s="42" t="n">
        <x:v>1</x:v>
      </x:c>
      <x:c r="D3" s="41" t="str">
        <x:v>No additional finding submitted</x:v>
      </x:c>
      <x:c r="E3" s="41" t="str">
        <x:v>Not applicable</x:v>
      </x:c>
      <x:c r="F3" s="41" t="str">
        <x:v>No designated additional finding</x:v>
      </x:c>
      <x:c r="G3" t="n" s="64">
        <x:v>0</x:v>
      </x:c>
      <x:c r="H3" s="41" t="str">
        <x:v>Unused slot</x:v>
      </x:c>
    </x:row>
    <x:row r="4" ht="48" customHeight="1">
      <x:c r="A4" s="32" t="str">
        <x:v>FR-0001</x:v>
      </x:c>
      <x:c r="B4" s="33" t="str">
        <x:v>AutoBA</x:v>
      </x:c>
      <x:c r="C4" s="43" t="n">
        <x:v>2</x:v>
      </x:c>
      <x:c r="D4" s="33" t="str">
        <x:v>No additional finding submitted</x:v>
      </x:c>
      <x:c r="E4" s="33" t="str">
        <x:v>Not applicable</x:v>
      </x:c>
      <x:c r="F4" s="33" t="str">
        <x:v>No designated additional finding</x:v>
      </x:c>
      <x:c r="G4" t="n" s="65">
        <x:v>0</x:v>
      </x:c>
      <x:c r="H4" s="35" t="str">
        <x:v>Unused slot</x:v>
      </x:c>
    </x:row>
    <x:row r="5" ht="48" customHeight="1">
      <x:c r="A5" s="32" t="str">
        <x:v>FR-0001</x:v>
      </x:c>
      <x:c r="B5" s="33" t="str">
        <x:v>AutoBA</x:v>
      </x:c>
      <x:c r="C5" s="43" t="n">
        <x:v>3</x:v>
      </x:c>
      <x:c r="D5" s="33" t="str">
        <x:v>No additional finding submitted</x:v>
      </x:c>
      <x:c r="E5" s="33" t="str">
        <x:v>Not applicable</x:v>
      </x:c>
      <x:c r="F5" s="33" t="str">
        <x:v>No designated additional finding</x:v>
      </x:c>
      <x:c r="G5" t="n" s="65">
        <x:v>0</x:v>
      </x:c>
      <x:c r="H5" s="35" t="str">
        <x:v>Unused slot</x:v>
      </x:c>
    </x:row>
    <x:row r="6" ht="48" customHeight="1">
      <x:c r="A6" s="40" t="str">
        <x:v>FR-0002</x:v>
      </x:c>
      <x:c r="B6" s="41" t="str">
        <x:v>AutoBA</x:v>
      </x:c>
      <x:c r="C6" s="42" t="n">
        <x:v>1</x:v>
      </x:c>
      <x:c r="D6" s="41" t="str">
        <x:v>No additional finding submitted</x:v>
      </x:c>
      <x:c r="E6" s="41" t="str">
        <x:v>Not applicable</x:v>
      </x:c>
      <x:c r="F6" s="41" t="str">
        <x:v>No designated additional finding</x:v>
      </x:c>
      <x:c r="G6" t="n" s="64">
        <x:v>0</x:v>
      </x:c>
      <x:c r="H6" s="41" t="str">
        <x:v>Unused slot</x:v>
      </x:c>
    </x:row>
    <x:row r="7" ht="48" customHeight="1">
      <x:c r="A7" s="32" t="str">
        <x:v>FR-0002</x:v>
      </x:c>
      <x:c r="B7" s="33" t="str">
        <x:v>AutoBA</x:v>
      </x:c>
      <x:c r="C7" s="43" t="n">
        <x:v>2</x:v>
      </x:c>
      <x:c r="D7" s="33" t="str">
        <x:v>No additional finding submitted</x:v>
      </x:c>
      <x:c r="E7" s="33" t="str">
        <x:v>Not applicable</x:v>
      </x:c>
      <x:c r="F7" s="33" t="str">
        <x:v>No designated additional finding</x:v>
      </x:c>
      <x:c r="G7" t="n" s="65">
        <x:v>0</x:v>
      </x:c>
      <x:c r="H7" s="35" t="str">
        <x:v>Unused slot</x:v>
      </x:c>
    </x:row>
    <x:row r="8" ht="48" customHeight="1">
      <x:c r="A8" s="32" t="str">
        <x:v>FR-0002</x:v>
      </x:c>
      <x:c r="B8" s="33" t="str">
        <x:v>AutoBA</x:v>
      </x:c>
      <x:c r="C8" s="43" t="n">
        <x:v>3</x:v>
      </x:c>
      <x:c r="D8" s="33" t="str">
        <x:v>No additional finding submitted</x:v>
      </x:c>
      <x:c r="E8" s="33" t="str">
        <x:v>Not applicable</x:v>
      </x:c>
      <x:c r="F8" s="33" t="str">
        <x:v>No designated additional finding</x:v>
      </x:c>
      <x:c r="G8" t="n" s="65">
        <x:v>0</x:v>
      </x:c>
      <x:c r="H8" s="35" t="str">
        <x:v>Unused slot</x:v>
      </x:c>
    </x:row>
    <x:row r="9" ht="48" customHeight="1">
      <x:c r="A9" s="40" t="str">
        <x:v>FR-0003</x:v>
      </x:c>
      <x:c r="B9" s="41" t="str">
        <x:v>AutoBA</x:v>
      </x:c>
      <x:c r="C9" s="42" t="n">
        <x:v>1</x:v>
      </x:c>
      <x:c r="D9" s="41" t="str">
        <x:v>No additional finding submitted</x:v>
      </x:c>
      <x:c r="E9" s="41" t="str">
        <x:v>Not applicable</x:v>
      </x:c>
      <x:c r="F9" s="41" t="str">
        <x:v>No designated additional finding</x:v>
      </x:c>
      <x:c r="G9" t="n" s="64">
        <x:v>0</x:v>
      </x:c>
      <x:c r="H9" s="41" t="str">
        <x:v>Unused slot</x:v>
      </x:c>
    </x:row>
    <x:row r="10" ht="48" customHeight="1">
      <x:c r="A10" s="32" t="str">
        <x:v>FR-0003</x:v>
      </x:c>
      <x:c r="B10" s="33" t="str">
        <x:v>AutoBA</x:v>
      </x:c>
      <x:c r="C10" s="43" t="n">
        <x:v>2</x:v>
      </x:c>
      <x:c r="D10" s="33" t="str">
        <x:v>No additional finding submitted</x:v>
      </x:c>
      <x:c r="E10" s="33" t="str">
        <x:v>Not applicable</x:v>
      </x:c>
      <x:c r="F10" s="33" t="str">
        <x:v>No designated additional finding</x:v>
      </x:c>
      <x:c r="G10" t="n" s="65">
        <x:v>0</x:v>
      </x:c>
      <x:c r="H10" s="35" t="str">
        <x:v>Unused slot</x:v>
      </x:c>
    </x:row>
    <x:row r="11" ht="48" customHeight="1">
      <x:c r="A11" s="32" t="str">
        <x:v>FR-0003</x:v>
      </x:c>
      <x:c r="B11" s="33" t="str">
        <x:v>AutoBA</x:v>
      </x:c>
      <x:c r="C11" s="43" t="n">
        <x:v>3</x:v>
      </x:c>
      <x:c r="D11" s="33" t="str">
        <x:v>No additional finding submitted</x:v>
      </x:c>
      <x:c r="E11" s="33" t="str">
        <x:v>Not applicable</x:v>
      </x:c>
      <x:c r="F11" s="33" t="str">
        <x:v>No designated additional finding</x:v>
      </x:c>
      <x:c r="G11" t="n" s="65">
        <x:v>0</x:v>
      </x:c>
      <x:c r="H11" s="35" t="str">
        <x:v>Unused slot</x:v>
      </x:c>
    </x:row>
    <x:row r="12" ht="48" customHeight="1">
      <x:c r="A12" s="40" t="str">
        <x:v>FR-0004</x:v>
      </x:c>
      <x:c r="B12" s="41" t="str">
        <x:v>AutoBA</x:v>
      </x:c>
      <x:c r="C12" s="42" t="n">
        <x:v>1</x:v>
      </x:c>
      <x:c r="D12" s="41" t="str">
        <x:v>No additional finding submitted</x:v>
      </x:c>
      <x:c r="E12" s="41" t="str">
        <x:v>Not applicable</x:v>
      </x:c>
      <x:c r="F12" s="41" t="str">
        <x:v>No designated additional finding</x:v>
      </x:c>
      <x:c r="G12" t="n" s="64">
        <x:v>0</x:v>
      </x:c>
      <x:c r="H12" s="41" t="str">
        <x:v>Unused slot</x:v>
      </x:c>
    </x:row>
    <x:row r="13" ht="48" customHeight="1">
      <x:c r="A13" s="32" t="str">
        <x:v>FR-0004</x:v>
      </x:c>
      <x:c r="B13" s="33" t="str">
        <x:v>AutoBA</x:v>
      </x:c>
      <x:c r="C13" s="43" t="n">
        <x:v>2</x:v>
      </x:c>
      <x:c r="D13" s="33" t="str">
        <x:v>No additional finding submitted</x:v>
      </x:c>
      <x:c r="E13" s="33" t="str">
        <x:v>Not applicable</x:v>
      </x:c>
      <x:c r="F13" s="33" t="str">
        <x:v>No designated additional finding</x:v>
      </x:c>
      <x:c r="G13" t="n" s="65">
        <x:v>0</x:v>
      </x:c>
      <x:c r="H13" s="35" t="str">
        <x:v>Unused slot</x:v>
      </x:c>
    </x:row>
    <x:row r="14" ht="48" customHeight="1">
      <x:c r="A14" s="32" t="str">
        <x:v>FR-0004</x:v>
      </x:c>
      <x:c r="B14" s="33" t="str">
        <x:v>AutoBA</x:v>
      </x:c>
      <x:c r="C14" s="43" t="n">
        <x:v>3</x:v>
      </x:c>
      <x:c r="D14" s="33" t="str">
        <x:v>No additional finding submitted</x:v>
      </x:c>
      <x:c r="E14" s="33" t="str">
        <x:v>Not applicable</x:v>
      </x:c>
      <x:c r="F14" s="33" t="str">
        <x:v>No designated additional finding</x:v>
      </x:c>
      <x:c r="G14" t="n" s="65">
        <x:v>0</x:v>
      </x:c>
      <x:c r="H14" s="35" t="str">
        <x:v>Unused slot</x:v>
      </x:c>
    </x:row>
    <x:row r="15" ht="48" customHeight="1">
      <x:c r="A15" s="40" t="str">
        <x:v>FR-0005</x:v>
      </x:c>
      <x:c r="B15" s="41" t="str">
        <x:v>AutoBA</x:v>
      </x:c>
      <x:c r="C15" s="42" t="n">
        <x:v>1</x:v>
      </x:c>
      <x:c r="D15" s="41" t="str">
        <x:v>No additional finding submitted</x:v>
      </x:c>
      <x:c r="E15" s="41" t="str">
        <x:v>Not applicable</x:v>
      </x:c>
      <x:c r="F15" s="41" t="str">
        <x:v>No designated additional finding</x:v>
      </x:c>
      <x:c r="G15" t="n" s="64">
        <x:v>0</x:v>
      </x:c>
      <x:c r="H15" s="41" t="str">
        <x:v>Unused slot</x:v>
      </x:c>
    </x:row>
    <x:row r="16" ht="48" customHeight="1">
      <x:c r="A16" s="32" t="str">
        <x:v>FR-0005</x:v>
      </x:c>
      <x:c r="B16" s="33" t="str">
        <x:v>AutoBA</x:v>
      </x:c>
      <x:c r="C16" s="43" t="n">
        <x:v>2</x:v>
      </x:c>
      <x:c r="D16" s="33" t="str">
        <x:v>No additional finding submitted</x:v>
      </x:c>
      <x:c r="E16" s="33" t="str">
        <x:v>Not applicable</x:v>
      </x:c>
      <x:c r="F16" s="33" t="str">
        <x:v>No designated additional finding</x:v>
      </x:c>
      <x:c r="G16" t="n" s="65">
        <x:v>0</x:v>
      </x:c>
      <x:c r="H16" s="35" t="str">
        <x:v>Unused slot</x:v>
      </x:c>
    </x:row>
    <x:row r="17" ht="48" customHeight="1">
      <x:c r="A17" s="32" t="str">
        <x:v>FR-0005</x:v>
      </x:c>
      <x:c r="B17" s="33" t="str">
        <x:v>AutoBA</x:v>
      </x:c>
      <x:c r="C17" s="43" t="n">
        <x:v>3</x:v>
      </x:c>
      <x:c r="D17" s="33" t="str">
        <x:v>No additional finding submitted</x:v>
      </x:c>
      <x:c r="E17" s="33" t="str">
        <x:v>Not applicable</x:v>
      </x:c>
      <x:c r="F17" s="33" t="str">
        <x:v>No designated additional finding</x:v>
      </x:c>
      <x:c r="G17" t="n" s="65">
        <x:v>0</x:v>
      </x:c>
      <x:c r="H17" s="35" t="str">
        <x:v>Unused slot</x:v>
      </x:c>
    </x:row>
    <x:row r="18" ht="48" customHeight="1">
      <x:c r="A18" s="40" t="str">
        <x:v>FR-0001</x:v>
      </x:c>
      <x:c r="B18" s="41" t="str">
        <x:v>BioMaster</x:v>
      </x:c>
      <x:c r="C18" s="42" t="n">
        <x:v>1</x:v>
      </x:c>
      <x:c r="D18" s="41" t="str">
        <x:v>No additional finding submitted</x:v>
      </x:c>
      <x:c r="E18" s="41" t="str">
        <x:v>Not applicable</x:v>
      </x:c>
      <x:c r="F18" s="41" t="str">
        <x:v>No designated additional finding</x:v>
      </x:c>
      <x:c r="G18" t="n" s="64">
        <x:v>0</x:v>
      </x:c>
      <x:c r="H18" s="41" t="str">
        <x:v>Unused slot</x:v>
      </x:c>
    </x:row>
    <x:row r="19" ht="48" customHeight="1">
      <x:c r="A19" s="32" t="str">
        <x:v>FR-0001</x:v>
      </x:c>
      <x:c r="B19" s="33" t="str">
        <x:v>BioMaster</x:v>
      </x:c>
      <x:c r="C19" s="43" t="n">
        <x:v>2</x:v>
      </x:c>
      <x:c r="D19" s="33" t="str">
        <x:v>No additional finding submitted</x:v>
      </x:c>
      <x:c r="E19" s="33" t="str">
        <x:v>Not applicable</x:v>
      </x:c>
      <x:c r="F19" s="33" t="str">
        <x:v>No designated additional finding</x:v>
      </x:c>
      <x:c r="G19" t="n" s="65">
        <x:v>0</x:v>
      </x:c>
      <x:c r="H19" s="35" t="str">
        <x:v>Unused slot</x:v>
      </x:c>
    </x:row>
    <x:row r="20" ht="48" customHeight="1">
      <x:c r="A20" s="32" t="str">
        <x:v>FR-0001</x:v>
      </x:c>
      <x:c r="B20" s="33" t="str">
        <x:v>BioMaster</x:v>
      </x:c>
      <x:c r="C20" s="43" t="n">
        <x:v>3</x:v>
      </x:c>
      <x:c r="D20" s="33" t="str">
        <x:v>No additional finding submitted</x:v>
      </x:c>
      <x:c r="E20" s="33" t="str">
        <x:v>Not applicable</x:v>
      </x:c>
      <x:c r="F20" s="33" t="str">
        <x:v>No designated additional finding</x:v>
      </x:c>
      <x:c r="G20" t="n" s="65">
        <x:v>0</x:v>
      </x:c>
      <x:c r="H20" s="35" t="str">
        <x:v>Unused slot</x:v>
      </x:c>
    </x:row>
    <x:row r="21" ht="48" customHeight="1">
      <x:c r="A21" s="40" t="str">
        <x:v>FR-0002</x:v>
      </x:c>
      <x:c r="B21" s="41" t="str">
        <x:v>BioMaster</x:v>
      </x:c>
      <x:c r="C21" s="42" t="n">
        <x:v>1</x:v>
      </x:c>
      <x:c r="D21" s="41" t="str">
        <x:v>No additional finding submitted</x:v>
      </x:c>
      <x:c r="E21" s="41" t="str">
        <x:v>Not applicable</x:v>
      </x:c>
      <x:c r="F21" s="41" t="str">
        <x:v>No designated additional finding</x:v>
      </x:c>
      <x:c r="G21" t="n" s="64">
        <x:v>0</x:v>
      </x:c>
      <x:c r="H21" s="41" t="str">
        <x:v>Unused slot</x:v>
      </x:c>
    </x:row>
    <x:row r="22" ht="48" customHeight="1">
      <x:c r="A22" s="32" t="str">
        <x:v>FR-0002</x:v>
      </x:c>
      <x:c r="B22" s="33" t="str">
        <x:v>BioMaster</x:v>
      </x:c>
      <x:c r="C22" s="43" t="n">
        <x:v>2</x:v>
      </x:c>
      <x:c r="D22" s="33" t="str">
        <x:v>No additional finding submitted</x:v>
      </x:c>
      <x:c r="E22" s="33" t="str">
        <x:v>Not applicable</x:v>
      </x:c>
      <x:c r="F22" s="33" t="str">
        <x:v>No designated additional finding</x:v>
      </x:c>
      <x:c r="G22" t="n" s="65">
        <x:v>0</x:v>
      </x:c>
      <x:c r="H22" s="35" t="str">
        <x:v>Unused slot</x:v>
      </x:c>
    </x:row>
    <x:row r="23" ht="48" customHeight="1">
      <x:c r="A23" s="32" t="str">
        <x:v>FR-0002</x:v>
      </x:c>
      <x:c r="B23" s="33" t="str">
        <x:v>BioMaster</x:v>
      </x:c>
      <x:c r="C23" s="43" t="n">
        <x:v>3</x:v>
      </x:c>
      <x:c r="D23" s="33" t="str">
        <x:v>No additional finding submitted</x:v>
      </x:c>
      <x:c r="E23" s="33" t="str">
        <x:v>Not applicable</x:v>
      </x:c>
      <x:c r="F23" s="33" t="str">
        <x:v>No designated additional finding</x:v>
      </x:c>
      <x:c r="G23" t="n" s="65">
        <x:v>0</x:v>
      </x:c>
      <x:c r="H23" s="35" t="str">
        <x:v>Unused slot</x:v>
      </x:c>
    </x:row>
    <x:row r="24" ht="48" customHeight="1">
      <x:c r="A24" s="40" t="str">
        <x:v>FR-0003</x:v>
      </x:c>
      <x:c r="B24" s="41" t="str">
        <x:v>BioMaster</x:v>
      </x:c>
      <x:c r="C24" s="42" t="n">
        <x:v>1</x:v>
      </x:c>
      <x:c r="D24" s="41" t="str">
        <x:v>No additional finding submitted</x:v>
      </x:c>
      <x:c r="E24" s="41" t="str">
        <x:v>Not applicable</x:v>
      </x:c>
      <x:c r="F24" s="41" t="str">
        <x:v>No designated additional finding</x:v>
      </x:c>
      <x:c r="G24" t="n" s="64">
        <x:v>0</x:v>
      </x:c>
      <x:c r="H24" s="41" t="str">
        <x:v>Unused slot</x:v>
      </x:c>
    </x:row>
    <x:row r="25" ht="48" customHeight="1">
      <x:c r="A25" s="32" t="str">
        <x:v>FR-0003</x:v>
      </x:c>
      <x:c r="B25" s="33" t="str">
        <x:v>BioMaster</x:v>
      </x:c>
      <x:c r="C25" s="43" t="n">
        <x:v>2</x:v>
      </x:c>
      <x:c r="D25" s="33" t="str">
        <x:v>No additional finding submitted</x:v>
      </x:c>
      <x:c r="E25" s="33" t="str">
        <x:v>Not applicable</x:v>
      </x:c>
      <x:c r="F25" s="33" t="str">
        <x:v>No designated additional finding</x:v>
      </x:c>
      <x:c r="G25" t="n" s="65">
        <x:v>0</x:v>
      </x:c>
      <x:c r="H25" s="35" t="str">
        <x:v>Unused slot</x:v>
      </x:c>
    </x:row>
    <x:row r="26" ht="48" customHeight="1">
      <x:c r="A26" s="32" t="str">
        <x:v>FR-0003</x:v>
      </x:c>
      <x:c r="B26" s="33" t="str">
        <x:v>BioMaster</x:v>
      </x:c>
      <x:c r="C26" s="43" t="n">
        <x:v>3</x:v>
      </x:c>
      <x:c r="D26" s="33" t="str">
        <x:v>No additional finding submitted</x:v>
      </x:c>
      <x:c r="E26" s="33" t="str">
        <x:v>Not applicable</x:v>
      </x:c>
      <x:c r="F26" s="33" t="str">
        <x:v>No designated additional finding</x:v>
      </x:c>
      <x:c r="G26" t="n" s="65">
        <x:v>0</x:v>
      </x:c>
      <x:c r="H26" s="35" t="str">
        <x:v>Unused slot</x:v>
      </x:c>
    </x:row>
    <x:row r="27" ht="48" customHeight="1">
      <x:c r="A27" s="40" t="str">
        <x:v>FR-0004</x:v>
      </x:c>
      <x:c r="B27" s="41" t="str">
        <x:v>BioMaster</x:v>
      </x:c>
      <x:c r="C27" s="42" t="n">
        <x:v>1</x:v>
      </x:c>
      <x:c r="D27" s="41" t="str">
        <x:v>No additional finding submitted</x:v>
      </x:c>
      <x:c r="E27" s="41" t="str">
        <x:v>Not applicable</x:v>
      </x:c>
      <x:c r="F27" s="41" t="str">
        <x:v>No designated additional finding</x:v>
      </x:c>
      <x:c r="G27" t="n" s="64">
        <x:v>0</x:v>
      </x:c>
      <x:c r="H27" s="41" t="str">
        <x:v>Unused slot</x:v>
      </x:c>
    </x:row>
    <x:row r="28" ht="48" customHeight="1">
      <x:c r="A28" s="32" t="str">
        <x:v>FR-0004</x:v>
      </x:c>
      <x:c r="B28" s="33" t="str">
        <x:v>BioMaster</x:v>
      </x:c>
      <x:c r="C28" s="43" t="n">
        <x:v>2</x:v>
      </x:c>
      <x:c r="D28" s="33" t="str">
        <x:v>No additional finding submitted</x:v>
      </x:c>
      <x:c r="E28" s="33" t="str">
        <x:v>Not applicable</x:v>
      </x:c>
      <x:c r="F28" s="33" t="str">
        <x:v>No designated additional finding</x:v>
      </x:c>
      <x:c r="G28" t="n" s="65">
        <x:v>0</x:v>
      </x:c>
      <x:c r="H28" s="35" t="str">
        <x:v>Unused slot</x:v>
      </x:c>
    </x:row>
    <x:row r="29" ht="48" customHeight="1">
      <x:c r="A29" s="32" t="str">
        <x:v>FR-0004</x:v>
      </x:c>
      <x:c r="B29" s="33" t="str">
        <x:v>BioMaster</x:v>
      </x:c>
      <x:c r="C29" s="43" t="n">
        <x:v>3</x:v>
      </x:c>
      <x:c r="D29" s="33" t="str">
        <x:v>No additional finding submitted</x:v>
      </x:c>
      <x:c r="E29" s="33" t="str">
        <x:v>Not applicable</x:v>
      </x:c>
      <x:c r="F29" s="33" t="str">
        <x:v>No designated additional finding</x:v>
      </x:c>
      <x:c r="G29" t="n" s="65">
        <x:v>0</x:v>
      </x:c>
      <x:c r="H29" s="35" t="str">
        <x:v>Unused slot</x:v>
      </x:c>
    </x:row>
    <x:row r="30" ht="48" customHeight="1">
      <x:c r="A30" s="40" t="str">
        <x:v>FR-0005</x:v>
      </x:c>
      <x:c r="B30" s="41" t="str">
        <x:v>BioMaster</x:v>
      </x:c>
      <x:c r="C30" s="42" t="n">
        <x:v>1</x:v>
      </x:c>
      <x:c r="D30" s="41" t="str">
        <x:v>No additional finding submitted</x:v>
      </x:c>
      <x:c r="E30" s="41" t="str">
        <x:v>Not applicable</x:v>
      </x:c>
      <x:c r="F30" s="41" t="str">
        <x:v>No designated additional finding</x:v>
      </x:c>
      <x:c r="G30" t="n" s="64">
        <x:v>0</x:v>
      </x:c>
      <x:c r="H30" s="41" t="str">
        <x:v>Unused slot</x:v>
      </x:c>
    </x:row>
    <x:row r="31" ht="48" customHeight="1">
      <x:c r="A31" s="32" t="str">
        <x:v>FR-0005</x:v>
      </x:c>
      <x:c r="B31" s="33" t="str">
        <x:v>BioMaster</x:v>
      </x:c>
      <x:c r="C31" s="43" t="n">
        <x:v>2</x:v>
      </x:c>
      <x:c r="D31" s="33" t="str">
        <x:v>No additional finding submitted</x:v>
      </x:c>
      <x:c r="E31" s="33" t="str">
        <x:v>Not applicable</x:v>
      </x:c>
      <x:c r="F31" s="33" t="str">
        <x:v>No designated additional finding</x:v>
      </x:c>
      <x:c r="G31" t="n" s="65">
        <x:v>0</x:v>
      </x:c>
      <x:c r="H31" s="35" t="str">
        <x:v>Unused slot</x:v>
      </x:c>
    </x:row>
    <x:row r="32" ht="48" customHeight="1">
      <x:c r="A32" s="32" t="str">
        <x:v>FR-0005</x:v>
      </x:c>
      <x:c r="B32" s="33" t="str">
        <x:v>BioMaster</x:v>
      </x:c>
      <x:c r="C32" s="43" t="n">
        <x:v>3</x:v>
      </x:c>
      <x:c r="D32" s="33" t="str">
        <x:v>No additional finding submitted</x:v>
      </x:c>
      <x:c r="E32" s="33" t="str">
        <x:v>Not applicable</x:v>
      </x:c>
      <x:c r="F32" s="33" t="str">
        <x:v>No designated additional finding</x:v>
      </x:c>
      <x:c r="G32" t="n" s="65">
        <x:v>0</x:v>
      </x:c>
      <x:c r="H32" s="35" t="str">
        <x:v>Unused slot</x:v>
      </x:c>
    </x:row>
    <x:row r="33" ht="48" customHeight="1">
      <x:c r="A33" s="40" t="str">
        <x:v>FR-0001</x:v>
      </x:c>
      <x:c r="B33" s="41" t="str">
        <x:v>Biomni</x:v>
      </x:c>
      <x:c r="C33" s="42" t="n">
        <x:v>1</x:v>
      </x:c>
      <x:c r="D33" s="41" t="str">
        <x:v>No additional finding submitted</x:v>
      </x:c>
      <x:c r="E33" s="41" t="str">
        <x:v>Not applicable</x:v>
      </x:c>
      <x:c r="F33" s="41" t="str">
        <x:v>No designated additional finding</x:v>
      </x:c>
      <x:c r="G33" t="n" s="64">
        <x:v>0</x:v>
      </x:c>
      <x:c r="H33" s="41" t="str">
        <x:v>Unused slot</x:v>
      </x:c>
    </x:row>
    <x:row r="34" ht="48" customHeight="1">
      <x:c r="A34" s="32" t="str">
        <x:v>FR-0001</x:v>
      </x:c>
      <x:c r="B34" s="33" t="str">
        <x:v>Biomni</x:v>
      </x:c>
      <x:c r="C34" s="43" t="n">
        <x:v>2</x:v>
      </x:c>
      <x:c r="D34" s="33" t="str">
        <x:v>No additional finding submitted</x:v>
      </x:c>
      <x:c r="E34" s="33" t="str">
        <x:v>Not applicable</x:v>
      </x:c>
      <x:c r="F34" s="33" t="str">
        <x:v>No designated additional finding</x:v>
      </x:c>
      <x:c r="G34" t="n" s="65">
        <x:v>0</x:v>
      </x:c>
      <x:c r="H34" s="35" t="str">
        <x:v>Unused slot</x:v>
      </x:c>
    </x:row>
    <x:row r="35" ht="48" customHeight="1">
      <x:c r="A35" s="32" t="str">
        <x:v>FR-0001</x:v>
      </x:c>
      <x:c r="B35" s="33" t="str">
        <x:v>Biomni</x:v>
      </x:c>
      <x:c r="C35" s="43" t="n">
        <x:v>3</x:v>
      </x:c>
      <x:c r="D35" s="33" t="str">
        <x:v>No additional finding submitted</x:v>
      </x:c>
      <x:c r="E35" s="33" t="str">
        <x:v>Not applicable</x:v>
      </x:c>
      <x:c r="F35" s="33" t="str">
        <x:v>No designated additional finding</x:v>
      </x:c>
      <x:c r="G35" t="n" s="65">
        <x:v>0</x:v>
      </x:c>
      <x:c r="H35" s="35" t="str">
        <x:v>Unused slot</x:v>
      </x:c>
    </x:row>
    <x:row r="36" ht="48" customHeight="1">
      <x:c r="A36" s="40" t="str">
        <x:v>FR-0002</x:v>
      </x:c>
      <x:c r="B36" s="41" t="str">
        <x:v>Biomni</x:v>
      </x:c>
      <x:c r="C36" s="42" t="n">
        <x:v>1</x:v>
      </x:c>
      <x:c r="D36" s="41" t="str">
        <x:v>Overall genus-composition stability</x:v>
      </x:c>
      <x:c r="E36" s="41" t="str">
        <x:v>Covered by reference findings F19/F20</x:v>
      </x:c>
      <x:c r="F36" s="41" t="str">
        <x:v>Executed genus-composition analysis.</x:v>
      </x:c>
      <x:c r="G36" t="n" s="64">
        <x:v>0</x:v>
      </x:c>
      <x:c r="H36" s="41" t="str">
        <x:v>Repeats an existing finding.</x:v>
      </x:c>
    </x:row>
    <x:row r="37" ht="48" customHeight="1">
      <x:c r="A37" s="32" t="str">
        <x:v>FR-0002</x:v>
      </x:c>
      <x:c r="B37" s="33" t="str">
        <x:v>Biomni</x:v>
      </x:c>
      <x:c r="C37" s="43" t="n">
        <x:v>2</x:v>
      </x:c>
      <x:c r="D37" s="33" t="str">
        <x:v>DNA dose association with ARG-mass change</x:v>
      </x:c>
      <x:c r="E37" s="33" t="str">
        <x:v>Covered by F11/F14</x:v>
      </x:c>
      <x:c r="F37" s="33" t="str">
        <x:v>Complete-pair dose versus absolute-mass analysis.</x:v>
      </x:c>
      <x:c r="G37" t="n" s="65">
        <x:v>0</x:v>
      </x:c>
      <x:c r="H37" s="35" t="str">
        <x:v>Changing the outcome scale does not establish an additional scientific conclusion.</x:v>
      </x:c>
    </x:row>
    <x:row r="38" ht="48" customHeight="1">
      <x:c r="A38" s="32" t="str">
        <x:v>FR-0002</x:v>
      </x:c>
      <x:c r="B38" s="33" t="str">
        <x:v>Biomni</x:v>
      </x:c>
      <x:c r="C38" s="43" t="n">
        <x:v>3</x:v>
      </x:c>
      <x:c r="D38" s="33" t="str">
        <x:v>RNA dose gradient</x:v>
      </x:c>
      <x:c r="E38" s="33" t="str">
        <x:v>Covered by F12/F14</x:v>
      </x:c>
      <x:c r="F38" s="33" t="str">
        <x:v>RNA dose analysis in a small paired subset.</x:v>
      </x:c>
      <x:c r="G38" t="n" s="65">
        <x:v>0</x:v>
      </x:c>
      <x:c r="H38" s="35" t="str">
        <x:v>No additional conclusion beyond the reference dose pattern.</x:v>
      </x:c>
    </x:row>
    <x:row r="39" ht="48" customHeight="1">
      <x:c r="A39" s="40" t="str">
        <x:v>FR-0003</x:v>
      </x:c>
      <x:c r="B39" s="41" t="str">
        <x:v>Biomni</x:v>
      </x:c>
      <x:c r="C39" s="42" t="n">
        <x:v>1</x:v>
      </x:c>
      <x:c r="D39" s="41" t="str">
        <x:v>Injury/repair improvement</x:v>
      </x:c>
      <x:c r="E39" s="41" t="str">
        <x:v>Covered by F13/F16</x:v>
      </x:c>
      <x:c r="F39" s="41" t="str">
        <x:v>Executed target-visit injury/repair contrasts.</x:v>
      </x:c>
      <x:c r="G39" t="n" s="64">
        <x:v>0</x:v>
      </x:c>
      <x:c r="H39" s="41" t="str">
        <x:v>Repeats the delayed injury/repair finding.</x:v>
      </x:c>
    </x:row>
    <x:row r="40" ht="48" customHeight="1">
      <x:c r="A40" s="32" t="str">
        <x:v>FR-0003</x:v>
      </x:c>
      <x:c r="B40" s="33" t="str">
        <x:v>Biomni</x:v>
      </x:c>
      <x:c r="C40" s="43" t="n">
        <x:v>2</x:v>
      </x:c>
      <x:c r="D40" s="33" t="str">
        <x:v>Normal-kidney composite scores</x:v>
      </x:c>
      <x:c r="E40" s="33" t="str">
        <x:v>Additional composite endpoint; F10 concerns selected normal genes</x:v>
      </x:c>
      <x:c r="F40" s="33" t="str">
        <x:v>Week-24 transcript-score contrast -0.1007, 95% CI [-0.438418, 0.239905]; solute-carrier contrast -0.2120, CI [-0.996307, 0.562305].</x:v>
      </x:c>
      <x:c r="G40" t="n" s="65">
        <x:v>0.5</x:v>
      </x:c>
      <x:c r="H40" s="35" t="str">
        <x:v>Data-supported additional endpoint; uncertain effects do not establish a mechanism.</x:v>
      </x:c>
    </x:row>
    <x:row r="41" ht="48" customHeight="1">
      <x:c r="A41" s="32" t="str">
        <x:v>FR-0003</x:v>
      </x:c>
      <x:c r="B41" s="33" t="str">
        <x:v>Biomni</x:v>
      </x:c>
      <x:c r="C41" s="43" t="n">
        <x:v>3</x:v>
      </x:c>
      <x:c r="D41" s="33" t="str">
        <x:v>Fibrosis-classifier treatment contrasts</x:v>
      </x:c>
      <x:c r="E41" s="33" t="str">
        <x:v>Additional endpoint outside reference findings</x:v>
      </x:c>
      <x:c r="F41" s="33" t="str">
        <x:v>Week-24 fibrosis contrast 0.1223, 95% CI [-0.0695, 0.317902].</x:v>
      </x:c>
      <x:c r="G41" t="n" s="65">
        <x:v>0.5</x:v>
      </x:c>
      <x:c r="H41" s="35" t="str">
        <x:v>Data-supported parallel endpoint; no tested explanation for divergence from ABMR.</x:v>
      </x:c>
    </x:row>
    <x:row r="42" ht="48" customHeight="1">
      <x:c r="A42" s="40" t="str">
        <x:v>FR-0004</x:v>
      </x:c>
      <x:c r="B42" s="41" t="str">
        <x:v>Biomni</x:v>
      </x:c>
      <x:c r="C42" s="42" t="n">
        <x:v>1</x:v>
      </x:c>
      <x:c r="D42" s="41" t="str">
        <x:v>No additional finding submitted</x:v>
      </x:c>
      <x:c r="E42" s="41" t="str">
        <x:v>Not applicable</x:v>
      </x:c>
      <x:c r="F42" s="41" t="str">
        <x:v>No designated additional finding</x:v>
      </x:c>
      <x:c r="G42" t="n" s="64">
        <x:v>0</x:v>
      </x:c>
      <x:c r="H42" s="41" t="str">
        <x:v>Unused slot</x:v>
      </x:c>
    </x:row>
    <x:row r="43" ht="48" customHeight="1">
      <x:c r="A43" s="32" t="str">
        <x:v>FR-0004</x:v>
      </x:c>
      <x:c r="B43" s="33" t="str">
        <x:v>Biomni</x:v>
      </x:c>
      <x:c r="C43" s="43" t="n">
        <x:v>2</x:v>
      </x:c>
      <x:c r="D43" s="33" t="str">
        <x:v>No additional finding submitted</x:v>
      </x:c>
      <x:c r="E43" s="33" t="str">
        <x:v>Not applicable</x:v>
      </x:c>
      <x:c r="F43" s="33" t="str">
        <x:v>No designated additional finding</x:v>
      </x:c>
      <x:c r="G43" t="n" s="65">
        <x:v>0</x:v>
      </x:c>
      <x:c r="H43" s="35" t="str">
        <x:v>Unused slot</x:v>
      </x:c>
    </x:row>
    <x:row r="44" ht="48" customHeight="1">
      <x:c r="A44" s="32" t="str">
        <x:v>FR-0004</x:v>
      </x:c>
      <x:c r="B44" s="33" t="str">
        <x:v>Biomni</x:v>
      </x:c>
      <x:c r="C44" s="43" t="n">
        <x:v>3</x:v>
      </x:c>
      <x:c r="D44" s="33" t="str">
        <x:v>No additional finding submitted</x:v>
      </x:c>
      <x:c r="E44" s="33" t="str">
        <x:v>Not applicable</x:v>
      </x:c>
      <x:c r="F44" s="33" t="str">
        <x:v>No designated additional finding</x:v>
      </x:c>
      <x:c r="G44" t="n" s="65">
        <x:v>0</x:v>
      </x:c>
      <x:c r="H44" s="35" t="str">
        <x:v>Unused slot</x:v>
      </x:c>
    </x:row>
    <x:row r="45" ht="48" customHeight="1">
      <x:c r="A45" s="40" t="str">
        <x:v>FR-0005</x:v>
      </x:c>
      <x:c r="B45" s="41" t="str">
        <x:v>Biomni</x:v>
      </x:c>
      <x:c r="C45" s="42" t="n">
        <x:v>1</x:v>
      </x:c>
      <x:c r="D45" s="41" t="str">
        <x:v>Maternal-cord concordance and transfer</x:v>
      </x:c>
      <x:c r="E45" s="41" t="str">
        <x:v>Covered by F01</x:v>
      </x:c>
      <x:c r="F45" s="41" t="str">
        <x:v>Executed maternal-cord comparisons.</x:v>
      </x:c>
      <x:c r="G45" t="n" s="64">
        <x:v>0</x:v>
      </x:c>
      <x:c r="H45" s="41" t="str">
        <x:v>Repeats a reference finding.</x:v>
      </x:c>
    </x:row>
    <x:row r="46" ht="48" customHeight="1">
      <x:c r="A46" s="32" t="str">
        <x:v>FR-0005</x:v>
      </x:c>
      <x:c r="B46" s="33" t="str">
        <x:v>Biomni</x:v>
      </x:c>
      <x:c r="C46" s="43" t="n">
        <x:v>2</x:v>
      </x:c>
      <x:c r="D46" s="33" t="str">
        <x:v>Inclusion and person-time accounting</x:v>
      </x:c>
      <x:c r="E46" s="33" t="str">
        <x:v>Data-processing record</x:v>
      </x:c>
      <x:c r="F46" s="33" t="str">
        <x:v>Executed inclusion and risk-interval accounting.</x:v>
      </x:c>
      <x:c r="G46" t="n" s="65">
        <x:v>0</x:v>
      </x:c>
      <x:c r="H46" s="35" t="str">
        <x:v>Supports analysis traceability without an additional scientific relationship.</x:v>
      </x:c>
    </x:row>
    <x:row r="47" ht="48" customHeight="1">
      <x:c r="A47" s="32" t="str">
        <x:v>FR-0005</x:v>
      </x:c>
      <x:c r="B47" s="33" t="str">
        <x:v>Biomni</x:v>
      </x:c>
      <x:c r="C47" s="43" t="n">
        <x:v>3</x:v>
      </x:c>
      <x:c r="D47" s="33" t="str">
        <x:v>No additional finding submitted</x:v>
      </x:c>
      <x:c r="E47" s="33" t="str">
        <x:v>Not applicable</x:v>
      </x:c>
      <x:c r="F47" s="33" t="str">
        <x:v>No designated additional finding</x:v>
      </x:c>
      <x:c r="G47" t="n" s="65">
        <x:v>0</x:v>
      </x:c>
      <x:c r="H47" s="35" t="str">
        <x:v>Unused slot</x:v>
      </x:c>
    </x:row>
    <x:row r="48" ht="48" customHeight="1">
      <x:c r="A48" s="40" t="str">
        <x:v>FR-0001</x:v>
      </x:c>
      <x:c r="B48" s="41" t="str">
        <x:v>BixBench-Agent</x:v>
      </x:c>
      <x:c r="C48" s="42" t="n">
        <x:v>1</x:v>
      </x:c>
      <x:c r="D48" s="41" t="str">
        <x:v>No additional finding submitted</x:v>
      </x:c>
      <x:c r="E48" s="41" t="str">
        <x:v>Not applicable</x:v>
      </x:c>
      <x:c r="F48" s="41" t="str">
        <x:v>No designated additional finding</x:v>
      </x:c>
      <x:c r="G48" t="n" s="64">
        <x:v>0</x:v>
      </x:c>
      <x:c r="H48" s="41" t="str">
        <x:v>Unused slot</x:v>
      </x:c>
    </x:row>
    <x:row r="49" ht="48" customHeight="1">
      <x:c r="A49" s="32" t="str">
        <x:v>FR-0001</x:v>
      </x:c>
      <x:c r="B49" s="33" t="str">
        <x:v>BixBench-Agent</x:v>
      </x:c>
      <x:c r="C49" s="43" t="n">
        <x:v>2</x:v>
      </x:c>
      <x:c r="D49" s="33" t="str">
        <x:v>No additional finding submitted</x:v>
      </x:c>
      <x:c r="E49" s="33" t="str">
        <x:v>Not applicable</x:v>
      </x:c>
      <x:c r="F49" s="33" t="str">
        <x:v>No designated additional finding</x:v>
      </x:c>
      <x:c r="G49" t="n" s="65">
        <x:v>0</x:v>
      </x:c>
      <x:c r="H49" s="35" t="str">
        <x:v>Unused slot</x:v>
      </x:c>
    </x:row>
    <x:row r="50" ht="48" customHeight="1">
      <x:c r="A50" s="32" t="str">
        <x:v>FR-0001</x:v>
      </x:c>
      <x:c r="B50" s="33" t="str">
        <x:v>BixBench-Agent</x:v>
      </x:c>
      <x:c r="C50" s="43" t="n">
        <x:v>3</x:v>
      </x:c>
      <x:c r="D50" s="33" t="str">
        <x:v>No additional finding submitted</x:v>
      </x:c>
      <x:c r="E50" s="33" t="str">
        <x:v>Not applicable</x:v>
      </x:c>
      <x:c r="F50" s="33" t="str">
        <x:v>No designated additional finding</x:v>
      </x:c>
      <x:c r="G50" t="n" s="65">
        <x:v>0</x:v>
      </x:c>
      <x:c r="H50" s="35" t="str">
        <x:v>Unused slot</x:v>
      </x:c>
    </x:row>
    <x:row r="51" ht="48" customHeight="1">
      <x:c r="A51" s="40" t="str">
        <x:v>FR-0002</x:v>
      </x:c>
      <x:c r="B51" s="41" t="str">
        <x:v>BixBench-Agent</x:v>
      </x:c>
      <x:c r="C51" s="42" t="n">
        <x:v>1</x:v>
      </x:c>
      <x:c r="D51" s="41" t="str">
        <x:v>Tetracycline-specific DNA mass change</x:v>
      </x:c>
      <x:c r="E51" s="41" t="str">
        <x:v>Intended question covered by F2/F9/F15</x:v>
      </x:c>
      <x:c r="F51" s="41" t="str">
        <x:v>The selector also includes non_tetracycline, yielding all-class ARG mass.</x:v>
      </x:c>
      <x:c r="G51" t="n" s="64">
        <x:v>0</x:v>
      </x:c>
      <x:c r="H51" s="41" t="str">
        <x:v>No valid tetracycline-specific evidence supports the claim.</x:v>
      </x:c>
    </x:row>
    <x:row r="52" ht="48" customHeight="1">
      <x:c r="A52" s="32" t="str">
        <x:v>FR-0002</x:v>
      </x:c>
      <x:c r="B52" s="33" t="str">
        <x:v>BixBench-Agent</x:v>
      </x:c>
      <x:c r="C52" s="43" t="n">
        <x:v>2</x:v>
      </x:c>
      <x:c r="D52" s="33" t="str">
        <x:v>Tetracycline-specific RNA mass change</x:v>
      </x:c>
      <x:c r="E52" s="33" t="str">
        <x:v>Intended question covered by F3/F9/F15</x:v>
      </x:c>
      <x:c r="F52" s="33" t="str">
        <x:v>The selector also includes non_tetracycline, yielding all-class ARG mass.</x:v>
      </x:c>
      <x:c r="G52" t="n" s="65">
        <x:v>0</x:v>
      </x:c>
      <x:c r="H52" s="35" t="str">
        <x:v>No valid tetracycline-specific evidence supports the claim.</x:v>
      </x:c>
    </x:row>
    <x:row r="53" ht="48" customHeight="1">
      <x:c r="A53" s="32" t="str">
        <x:v>FR-0002</x:v>
      </x:c>
      <x:c r="B53" s="33" t="str">
        <x:v>BixBench-Agent</x:v>
      </x:c>
      <x:c r="C53" s="43" t="n">
        <x:v>3</x:v>
      </x:c>
      <x:c r="D53" s="33" t="str">
        <x:v>Baseline-adjusted total DNA ARG mass</x:v>
      </x:c>
      <x:c r="E53" s="33" t="str">
        <x:v>Alternative model for the main total-mass finding</x:v>
      </x:c>
      <x:c r="F53" s="33" t="str">
        <x:v>Paired estimate -0.0614123; ANCOVA -0.0514303, 95% CI [-0.395846, 0.292985].</x:v>
      </x:c>
      <x:c r="G53" t="n" s="65">
        <x:v>0</x:v>
      </x:c>
      <x:c r="H53" s="35" t="str">
        <x:v>Routine model agreement without a new applicability boundary, driver or interpretation.</x:v>
      </x:c>
    </x:row>
    <x:row r="54" ht="48" customHeight="1">
      <x:c r="A54" s="40" t="str">
        <x:v>FR-0003</x:v>
      </x:c>
      <x:c r="B54" s="41" t="str">
        <x:v>BixBench-Agent</x:v>
      </x:c>
      <x:c r="C54" s="42" t="n">
        <x:v>1</x:v>
      </x:c>
      <x:c r="D54" s="41" t="str">
        <x:v>Chronic atrophy/fibrosis composite</x:v>
      </x:c>
      <x:c r="E54" s="41" t="str">
        <x:v>Additional phenotype outside reference findings</x:v>
      </x:c>
      <x:c r="F54" s="41" t="str">
        <x:v>Week-24 standardized change contrast 0.467246, 95% CI [-0.280217, 1.205961].</x:v>
      </x:c>
      <x:c r="G54" t="n" s="64">
        <x:v>0.5</x:v>
      </x:c>
      <x:c r="H54" s="41" t="str">
        <x:v>A meaningful executed lead with uncertain effects; neither worsening nor absence of benefit is established.</x:v>
      </x:c>
    </x:row>
    <x:row r="55" ht="48" customHeight="1">
      <x:c r="A55" s="32" t="str">
        <x:v>FR-0003</x:v>
      </x:c>
      <x:c r="B55" s="33" t="str">
        <x:v>BixBench-Agent</x:v>
      </x:c>
      <x:c r="C55" s="43" t="n">
        <x:v>2</x:v>
      </x:c>
      <x:c r="D55" s="33" t="str">
        <x:v>Normal-parenchyma composite</x:v>
      </x:c>
      <x:c r="E55" s="33" t="str">
        <x:v>Additional phenotype outside reference findings</x:v>
      </x:c>
      <x:c r="F55" s="33" t="str">
        <x:v>Week-24 standardized change contrast -0.286416, 95% CI [-1.308132, 0.703197].</x:v>
      </x:c>
      <x:c r="G55" t="n" s="65">
        <x:v>0.5</x:v>
      </x:c>
      <x:c r="H55" s="35" t="str">
        <x:v>A meaningful executed lead; the broad interval does not establish molecular recovery or mechanistic separation.</x:v>
      </x:c>
    </x:row>
    <x:row r="56" ht="48" customHeight="1">
      <x:c r="A56" s="32" t="str">
        <x:v>FR-0003</x:v>
      </x:c>
      <x:c r="B56" s="33" t="str">
        <x:v>BixBench-Agent</x:v>
      </x:c>
      <x:c r="C56" s="43" t="n">
        <x:v>3</x:v>
      </x:c>
      <x:c r="D56" s="33" t="str">
        <x:v>TCMR/NK interpretation</x:v>
      </x:c>
      <x:c r="E56" s="33" t="str">
        <x:v>Covered by F5/F6</x:v>
      </x:c>
      <x:c r="F56" s="33" t="str">
        <x:v>No additional quantitative mechanism is established.</x:v>
      </x:c>
      <x:c r="G56" t="n" s="65">
        <x:v>0</x:v>
      </x:c>
      <x:c r="H56" s="35" t="str">
        <x:v>No additional designated finding.</x:v>
      </x:c>
    </x:row>
    <x:row r="57" ht="48" customHeight="1">
      <x:c r="A57" s="40" t="str">
        <x:v>FR-0004</x:v>
      </x:c>
      <x:c r="B57" s="41" t="str">
        <x:v>BixBench-Agent</x:v>
      </x:c>
      <x:c r="C57" s="42" t="n">
        <x:v>1</x:v>
      </x:c>
      <x:c r="D57" s="41" t="str">
        <x:v>Patient versus eye clustering</x:v>
      </x:c>
      <x:c r="E57" s="41" t="str">
        <x:v>Alternative grouping of the main model</x:v>
      </x:c>
      <x:c r="F57" s="41" t="str">
        <x:v>Basal estimate changes from 0.039634 to 0.079325.</x:v>
      </x:c>
      <x:c r="G57" t="n" s="64">
        <x:v>0</x:v>
      </x:c>
      <x:c r="H57" s="41" t="str">
        <x:v>Eye clustering does not fully handle bilateral dependence; it provides no reliable new heterogeneity conclusion.</x:v>
      </x:c>
    </x:row>
    <x:row r="58" ht="48" customHeight="1">
      <x:c r="A58" s="32" t="str">
        <x:v>FR-0004</x:v>
      </x:c>
      <x:c r="B58" s="33" t="str">
        <x:v>BixBench-Agent</x:v>
      </x:c>
      <x:c r="C58" s="43" t="n">
        <x:v>2</x:v>
      </x:c>
      <x:c r="D58" s="33" t="str">
        <x:v>Removing 14 visits with missing IOP</x:v>
      </x:c>
      <x:c r="E58" s="33" t="str">
        <x:v>Missing-visit check of the main model</x:v>
      </x:c>
      <x:c r="F58" s="33" t="str">
        <x:v>Estimate changes from 0.039634 to 0.039668 while retaining mean IOP constructed using all-data interpolation.</x:v>
      </x:c>
      <x:c r="G58" t="n" s="65">
        <x:v>0</x:v>
      </x:c>
      <x:c r="H58" s="35" t="str">
        <x:v>Shows little change after this deletion; no new missingness mechanism or conclusion boundary is established.</x:v>
      </x:c>
    </x:row>
    <x:row r="59" ht="48" customHeight="1">
      <x:c r="A59" s="32" t="str">
        <x:v>FR-0004</x:v>
      </x:c>
      <x:c r="B59" s="33" t="str">
        <x:v>BixBench-Agent</x:v>
      </x:c>
      <x:c r="C59" s="43" t="n">
        <x:v>3</x:v>
      </x:c>
      <x:c r="D59" s="33" t="str">
        <x:v>No additional finding submitted</x:v>
      </x:c>
      <x:c r="E59" s="33" t="str">
        <x:v>Not applicable</x:v>
      </x:c>
      <x:c r="F59" s="33" t="str">
        <x:v>No designated additional finding</x:v>
      </x:c>
      <x:c r="G59" t="n" s="65">
        <x:v>0</x:v>
      </x:c>
      <x:c r="H59" s="35" t="str">
        <x:v>Unused slot</x:v>
      </x:c>
    </x:row>
    <x:row r="60" ht="48" customHeight="1">
      <x:c r="A60" s="40" t="str">
        <x:v>FR-0005</x:v>
      </x:c>
      <x:c r="B60" s="41" t="str">
        <x:v>BixBench-Agent</x:v>
      </x:c>
      <x:c r="C60" s="42" t="n">
        <x:v>1</x:v>
      </x:c>
      <x:c r="D60" s="41" t="str">
        <x:v>No additional finding submitted</x:v>
      </x:c>
      <x:c r="E60" s="41" t="str">
        <x:v>Not applicable</x:v>
      </x:c>
      <x:c r="F60" s="41" t="str">
        <x:v>No designated additional finding</x:v>
      </x:c>
      <x:c r="G60" t="n" s="64">
        <x:v>0</x:v>
      </x:c>
      <x:c r="H60" s="41" t="str">
        <x:v>Unused slot</x:v>
      </x:c>
    </x:row>
    <x:row r="61" ht="48" customHeight="1">
      <x:c r="A61" s="32" t="str">
        <x:v>FR-0005</x:v>
      </x:c>
      <x:c r="B61" s="33" t="str">
        <x:v>BixBench-Agent</x:v>
      </x:c>
      <x:c r="C61" s="43" t="n">
        <x:v>2</x:v>
      </x:c>
      <x:c r="D61" s="33" t="str">
        <x:v>No additional finding submitted</x:v>
      </x:c>
      <x:c r="E61" s="33" t="str">
        <x:v>Not applicable</x:v>
      </x:c>
      <x:c r="F61" s="33" t="str">
        <x:v>No designated additional finding</x:v>
      </x:c>
      <x:c r="G61" t="n" s="65">
        <x:v>0</x:v>
      </x:c>
      <x:c r="H61" s="35" t="str">
        <x:v>Unused slot</x:v>
      </x:c>
    </x:row>
    <x:row r="62" ht="48" customHeight="1">
      <x:c r="A62" s="32" t="str">
        <x:v>FR-0005</x:v>
      </x:c>
      <x:c r="B62" s="33" t="str">
        <x:v>BixBench-Agent</x:v>
      </x:c>
      <x:c r="C62" s="43" t="n">
        <x:v>3</x:v>
      </x:c>
      <x:c r="D62" s="33" t="str">
        <x:v>No additional finding submitted</x:v>
      </x:c>
      <x:c r="E62" s="33" t="str">
        <x:v>Not applicable</x:v>
      </x:c>
      <x:c r="F62" s="33" t="str">
        <x:v>No designated additional finding</x:v>
      </x:c>
      <x:c r="G62" t="n" s="65">
        <x:v>0</x:v>
      </x:c>
      <x:c r="H62" s="35" t="str">
        <x:v>Unused slot</x:v>
      </x:c>
    </x:row>
    <x:row r="63" ht="48" customHeight="1">
      <x:c r="A63" s="40" t="str">
        <x:v>FR-0001</x:v>
      </x:c>
      <x:c r="B63" s="41" t="str">
        <x:v>STELLA</x:v>
      </x:c>
      <x:c r="C63" s="42" t="n">
        <x:v>1</x:v>
      </x:c>
      <x:c r="D63" s="41" t="str">
        <x:v>No additional finding submitted</x:v>
      </x:c>
      <x:c r="E63" s="41" t="str">
        <x:v>Not applicable</x:v>
      </x:c>
      <x:c r="F63" s="41" t="str">
        <x:v>No designated additional finding</x:v>
      </x:c>
      <x:c r="G63" t="n" s="64">
        <x:v>0</x:v>
      </x:c>
      <x:c r="H63" s="41" t="str">
        <x:v>Unused slot</x:v>
      </x:c>
    </x:row>
    <x:row r="64" ht="48" customHeight="1">
      <x:c r="A64" s="32" t="str">
        <x:v>FR-0001</x:v>
      </x:c>
      <x:c r="B64" s="33" t="str">
        <x:v>STELLA</x:v>
      </x:c>
      <x:c r="C64" s="43" t="n">
        <x:v>2</x:v>
      </x:c>
      <x:c r="D64" s="33" t="str">
        <x:v>No additional finding submitted</x:v>
      </x:c>
      <x:c r="E64" s="33" t="str">
        <x:v>Not applicable</x:v>
      </x:c>
      <x:c r="F64" s="33" t="str">
        <x:v>No designated additional finding</x:v>
      </x:c>
      <x:c r="G64" t="n" s="65">
        <x:v>0</x:v>
      </x:c>
      <x:c r="H64" s="35" t="str">
        <x:v>Unused slot</x:v>
      </x:c>
    </x:row>
    <x:row r="65" ht="48" customHeight="1">
      <x:c r="A65" s="32" t="str">
        <x:v>FR-0001</x:v>
      </x:c>
      <x:c r="B65" s="33" t="str">
        <x:v>STELLA</x:v>
      </x:c>
      <x:c r="C65" s="43" t="n">
        <x:v>3</x:v>
      </x:c>
      <x:c r="D65" s="33" t="str">
        <x:v>No additional finding submitted</x:v>
      </x:c>
      <x:c r="E65" s="33" t="str">
        <x:v>Not applicable</x:v>
      </x:c>
      <x:c r="F65" s="33" t="str">
        <x:v>No designated additional finding</x:v>
      </x:c>
      <x:c r="G65" t="n" s="65">
        <x:v>0</x:v>
      </x:c>
      <x:c r="H65" s="35" t="str">
        <x:v>Unused slot</x:v>
      </x:c>
    </x:row>
    <x:row r="66" ht="48" customHeight="1">
      <x:c r="A66" s="40" t="str">
        <x:v>FR-0002</x:v>
      </x:c>
      <x:c r="B66" s="41" t="str">
        <x:v>STELLA</x:v>
      </x:c>
      <x:c r="C66" s="42" t="n">
        <x:v>1</x:v>
      </x:c>
      <x:c r="D66" s="41" t="str">
        <x:v>DNA absolute tetracycline ARG mass</x:v>
      </x:c>
      <x:c r="E66" s="41" t="str">
        <x:v>Covered by F9 and F2/F4</x:v>
      </x:c>
      <x:c r="F66" s="41" t="str">
        <x:v>Executed paired mass analysis with no detectable increase.</x:v>
      </x:c>
      <x:c r="G66" t="n" s="64">
        <x:v>0</x:v>
      </x:c>
      <x:c r="H66" s="41" t="str">
        <x:v>Repeats the proportion-versus-absolute-mass distinction.</x:v>
      </x:c>
    </x:row>
    <x:row r="67" ht="48" customHeight="1">
      <x:c r="A67" s="32" t="str">
        <x:v>FR-0002</x:v>
      </x:c>
      <x:c r="B67" s="33" t="str">
        <x:v>STELLA</x:v>
      </x:c>
      <x:c r="C67" s="43" t="n">
        <x:v>2</x:v>
      </x:c>
      <x:c r="D67" s="33" t="str">
        <x:v>RNA tetracycline proportion change</x:v>
      </x:c>
      <x:c r="E67" s="33" t="str">
        <x:v>Covered by F3/F15</x:v>
      </x:c>
      <x:c r="F67" s="33" t="str">
        <x:v>Concordant but imprecise paired change.</x:v>
      </x:c>
      <x:c r="G67" t="n" s="65">
        <x:v>0</x:v>
      </x:c>
      <x:c r="H67" s="35" t="str">
        <x:v>An imprecise re-estimate does not add a new finding.</x:v>
      </x:c>
    </x:row>
    <x:row r="68" ht="48" customHeight="1">
      <x:c r="A68" s="32" t="str">
        <x:v>FR-0002</x:v>
      </x:c>
      <x:c r="B68" s="33" t="str">
        <x:v>STELLA</x:v>
      </x:c>
      <x:c r="C68" s="43" t="n">
        <x:v>3</x:v>
      </x:c>
      <x:c r="D68" s="33" t="str">
        <x:v>All-class ARG richness</x:v>
      </x:c>
      <x:c r="E68" s="33" t="str">
        <x:v>Additional all-class endpoint; F4 concerns tetracycline-specific richness</x:v>
      </x:c>
      <x:c r="F68" s="33" t="str">
        <x:v>Richness ratio 0.859, 95% CI [0.573, 1.288].</x:v>
      </x:c>
      <x:c r="G68" t="n" s="65">
        <x:v>0.5</x:v>
      </x:c>
      <x:c r="H68" s="35" t="str">
        <x:v>Data-supported parallel endpoint; the responsible genes are not identified.</x:v>
      </x:c>
    </x:row>
    <x:row r="69" ht="48" customHeight="1">
      <x:c r="A69" s="40" t="str">
        <x:v>FR-0003</x:v>
      </x:c>
      <x:c r="B69" s="41" t="str">
        <x:v>STELLA</x:v>
      </x:c>
      <x:c r="C69" s="42" t="n">
        <x:v>1</x:v>
      </x:c>
      <x:c r="D69" s="41" t="str">
        <x:v>Raw ABMR arm-mean changes</x:v>
      </x:c>
      <x:c r="E69" s="41" t="str">
        <x:v>Covered by F1/F2</x:v>
      </x:c>
      <x:c r="F69" s="41" t="str">
        <x:v>Treatment-period suppression followed by weaker week-52 separation.</x:v>
      </x:c>
      <x:c r="G69" t="n" s="64">
        <x:v>0</x:v>
      </x:c>
      <x:c r="H69" s="41" t="str">
        <x:v>A scale check of the existing ABMR finding.</x:v>
      </x:c>
    </x:row>
    <x:row r="70" ht="48" customHeight="1">
      <x:c r="A70" s="32" t="str">
        <x:v>FR-0003</x:v>
      </x:c>
      <x:c r="B70" s="33" t="str">
        <x:v>STELLA</x:v>
      </x:c>
      <x:c r="C70" s="43" t="n">
        <x:v>2</x:v>
      </x:c>
      <x:c r="D70" s="33" t="str">
        <x:v>No additional finding submitted</x:v>
      </x:c>
      <x:c r="E70" s="33" t="str">
        <x:v>Not applicable</x:v>
      </x:c>
      <x:c r="F70" s="33" t="str">
        <x:v>No designated additional finding</x:v>
      </x:c>
      <x:c r="G70" t="n" s="65">
        <x:v>0</x:v>
      </x:c>
      <x:c r="H70" s="35" t="str">
        <x:v>Unused slot</x:v>
      </x:c>
    </x:row>
    <x:row r="71" ht="48" customHeight="1">
      <x:c r="A71" s="32" t="str">
        <x:v>FR-0003</x:v>
      </x:c>
      <x:c r="B71" s="33" t="str">
        <x:v>STELLA</x:v>
      </x:c>
      <x:c r="C71" s="43" t="n">
        <x:v>3</x:v>
      </x:c>
      <x:c r="D71" s="33" t="str">
        <x:v>No additional finding submitted</x:v>
      </x:c>
      <x:c r="E71" s="33" t="str">
        <x:v>Not applicable</x:v>
      </x:c>
      <x:c r="F71" s="33" t="str">
        <x:v>No designated additional finding</x:v>
      </x:c>
      <x:c r="G71" t="n" s="65">
        <x:v>0</x:v>
      </x:c>
      <x:c r="H71" s="35" t="str">
        <x:v>Unused slot</x:v>
      </x:c>
    </x:row>
    <x:row r="72" ht="48" customHeight="1">
      <x:c r="A72" s="40" t="str">
        <x:v>FR-0004</x:v>
      </x:c>
      <x:c r="B72" s="41" t="str">
        <x:v>STELLA</x:v>
      </x:c>
      <x:c r="C72" s="42" t="n">
        <x:v>1</x:v>
      </x:c>
      <x:c r="D72" s="41" t="str">
        <x:v>Maximal OCR versus longest follow-up</x:v>
      </x:c>
      <x:c r="E72" s="41" t="str">
        <x:v>Additional exposure-duration relationship; F8 concerns surgery/timing</x:v>
      </x:c>
      <x:c r="F72" s="41" t="str">
        <x:v>Spearman rho=-0.148702, P=0.080627, n=139.</x:v>
      </x:c>
      <x:c r="G72" t="n" s="64">
        <x:v>0.5</x:v>
      </x:c>
      <x:c r="H72" s="41" t="str">
        <x:v>An additional observation-window diagnostic; it does not directly test OCR-progression robustness.</x:v>
      </x:c>
    </x:row>
    <x:row r="73" ht="48" customHeight="1">
      <x:c r="A73" s="32" t="str">
        <x:v>FR-0004</x:v>
      </x:c>
      <x:c r="B73" s="33" t="str">
        <x:v>STELLA</x:v>
      </x:c>
      <x:c r="C73" s="43" t="n">
        <x:v>2</x:v>
      </x:c>
      <x:c r="D73" s="33" t="str">
        <x:v>No additional finding submitted</x:v>
      </x:c>
      <x:c r="E73" s="33" t="str">
        <x:v>Not applicable</x:v>
      </x:c>
      <x:c r="F73" s="33" t="str">
        <x:v>No designated additional finding</x:v>
      </x:c>
      <x:c r="G73" t="n" s="65">
        <x:v>0</x:v>
      </x:c>
      <x:c r="H73" s="35" t="str">
        <x:v>Unused slot</x:v>
      </x:c>
    </x:row>
    <x:row r="74" ht="48" customHeight="1">
      <x:c r="A74" s="32" t="str">
        <x:v>FR-0004</x:v>
      </x:c>
      <x:c r="B74" s="33" t="str">
        <x:v>STELLA</x:v>
      </x:c>
      <x:c r="C74" s="43" t="n">
        <x:v>3</x:v>
      </x:c>
      <x:c r="D74" s="33" t="str">
        <x:v>No additional finding submitted</x:v>
      </x:c>
      <x:c r="E74" s="33" t="str">
        <x:v>Not applicable</x:v>
      </x:c>
      <x:c r="F74" s="33" t="str">
        <x:v>No designated additional finding</x:v>
      </x:c>
      <x:c r="G74" t="n" s="65">
        <x:v>0</x:v>
      </x:c>
      <x:c r="H74" s="35" t="str">
        <x:v>Unused slot</x:v>
      </x:c>
    </x:row>
    <x:row r="75" ht="48" customHeight="1">
      <x:c r="A75" s="40" t="str">
        <x:v>FR-0005</x:v>
      </x:c>
      <x:c r="B75" s="41" t="str">
        <x:v>STELLA</x:v>
      </x:c>
      <x:c r="C75" s="42" t="n">
        <x:v>1</x:v>
      </x:c>
      <x:c r="D75" s="41" t="str">
        <x:v>No additional finding submitted</x:v>
      </x:c>
      <x:c r="E75" s="41" t="str">
        <x:v>Not applicable</x:v>
      </x:c>
      <x:c r="F75" s="41" t="str">
        <x:v>No designated additional finding</x:v>
      </x:c>
      <x:c r="G75" t="n" s="64">
        <x:v>0</x:v>
      </x:c>
      <x:c r="H75" s="41" t="str">
        <x:v>Unused slot</x:v>
      </x:c>
    </x:row>
    <x:row r="76" ht="48" customHeight="1">
      <x:c r="A76" s="32" t="str">
        <x:v>FR-0005</x:v>
      </x:c>
      <x:c r="B76" s="33" t="str">
        <x:v>STELLA</x:v>
      </x:c>
      <x:c r="C76" s="43" t="n">
        <x:v>2</x:v>
      </x:c>
      <x:c r="D76" s="33" t="str">
        <x:v>No additional finding submitted</x:v>
      </x:c>
      <x:c r="E76" s="33" t="str">
        <x:v>Not applicable</x:v>
      </x:c>
      <x:c r="F76" s="33" t="str">
        <x:v>No designated additional finding</x:v>
      </x:c>
      <x:c r="G76" t="n" s="65">
        <x:v>0</x:v>
      </x:c>
      <x:c r="H76" s="35" t="str">
        <x:v>Unused slot</x:v>
      </x:c>
    </x:row>
    <x:row r="77" ht="48" customHeight="1">
      <x:c r="A77" s="32" t="str">
        <x:v>FR-0005</x:v>
      </x:c>
      <x:c r="B77" s="33" t="str">
        <x:v>STELLA</x:v>
      </x:c>
      <x:c r="C77" s="43" t="n">
        <x:v>3</x:v>
      </x:c>
      <x:c r="D77" s="33" t="str">
        <x:v>No additional finding submitted</x:v>
      </x:c>
      <x:c r="E77" s="33" t="str">
        <x:v>Not applicable</x:v>
      </x:c>
      <x:c r="F77" s="33" t="str">
        <x:v>No designated additional finding</x:v>
      </x:c>
      <x:c r="G77" t="n" s="65">
        <x:v>0</x:v>
      </x:c>
      <x:c r="H77" s="35" t="str">
        <x:v>Unused slot</x:v>
      </x:c>
    </x:row>
    <x:row r="78" ht="48" customHeight="1">
      <x:c r="A78" s="40" t="str">
        <x:v>FR-0001</x:v>
      </x:c>
      <x:c r="B78" s="41" t="str">
        <x:v>BioMedAgent</x:v>
      </x:c>
      <x:c r="C78" s="42" t="n">
        <x:v>1</x:v>
      </x:c>
      <x:c r="D78" s="41" t="str">
        <x:v>Rice minus Beans mean iAUC</x:v>
      </x:c>
      <x:c r="E78" s="41" t="str">
        <x:v>Meal-response contrast covered by C01/C07</x:v>
      </x:c>
      <x:c r="F78" s="41" t="str">
        <x:v>Executed and verified meal-package mean iAUC contrast.</x:v>
      </x:c>
      <x:c r="G78" t="n" s="64">
        <x:v>0</x:v>
      </x:c>
      <x:c r="H78" s="41" t="str">
        <x:v>Replacing peak increment with iAUC does not by itself add a scientific finding.</x:v>
      </x:c>
    </x:row>
    <x:row r="79" ht="48" customHeight="1">
      <x:c r="A79" s="32" t="str">
        <x:v>FR-0001</x:v>
      </x:c>
      <x:c r="B79" s="33" t="str">
        <x:v>BioMedAgent</x:v>
      </x:c>
      <x:c r="C79" s="43" t="n">
        <x:v>2</x:v>
      </x:c>
      <x:c r="D79" s="33" t="str">
        <x:v>No additional finding submitted</x:v>
      </x:c>
      <x:c r="E79" s="33" t="str">
        <x:v>Not applicable</x:v>
      </x:c>
      <x:c r="F79" s="33" t="str">
        <x:v>No designated additional finding</x:v>
      </x:c>
      <x:c r="G79" t="n" s="65">
        <x:v>0</x:v>
      </x:c>
      <x:c r="H79" s="35" t="str">
        <x:v>Unused slot</x:v>
      </x:c>
    </x:row>
    <x:row r="80" ht="48" customHeight="1">
      <x:c r="A80" s="32" t="str">
        <x:v>FR-0001</x:v>
      </x:c>
      <x:c r="B80" s="33" t="str">
        <x:v>BioMedAgent</x:v>
      </x:c>
      <x:c r="C80" s="43" t="n">
        <x:v>3</x:v>
      </x:c>
      <x:c r="D80" s="33" t="str">
        <x:v>No additional finding submitted</x:v>
      </x:c>
      <x:c r="E80" s="33" t="str">
        <x:v>Not applicable</x:v>
      </x:c>
      <x:c r="F80" s="33" t="str">
        <x:v>No designated additional finding</x:v>
      </x:c>
      <x:c r="G80" t="n" s="65">
        <x:v>0</x:v>
      </x:c>
      <x:c r="H80" s="35" t="str">
        <x:v>Unused slot</x:v>
      </x:c>
    </x:row>
    <x:row r="81" ht="54" customHeight="1">
      <x:c r="A81" s="40" t="str">
        <x:v>FR-0002</x:v>
      </x:c>
      <x:c r="B81" s="41" t="str">
        <x:v>BioMedAgent</x:v>
      </x:c>
      <x:c r="C81" s="42" t="n">
        <x:v>1</x:v>
      </x:c>
      <x:c r="D81" s="41" t="str">
        <x:v>Complete pairs versus all observed samples</x:v>
      </x:c>
      <x:c r="E81" s="41" t="str">
        <x:v>Additional sensitivity of absolute mass to sample composition</x:v>
      </x:c>
      <x:c r="F81" s="41" t="str">
        <x:v>DNA total mass: 0.181937 versus -0.061348; tetracycline mass: 0.260983 versus 0.039314, comparing all-observed with 38 complete pairs.</x:v>
      </x:c>
      <x:c r="G81" t="n" s="64">
        <x:v>0.5</x:v>
      </x:c>
      <x:c r="H81" s="41" t="str">
        <x:v>A data-supported lead: all-observed estimates do not directly describe complete-pair changes. Population and model both change; a missingness mechanism or reversed effect is not established.</x:v>
      </x:c>
    </x:row>
    <x:row r="82" ht="54" customHeight="1">
      <x:c r="A82" s="32" t="str">
        <x:v>FR-0002</x:v>
      </x:c>
      <x:c r="B82" s="33" t="str">
        <x:v>BioMedAgent</x:v>
      </x:c>
      <x:c r="C82" s="43" t="n">
        <x:v>2</x:v>
      </x:c>
      <x:c r="D82" s="33" t="str">
        <x:v>RNA zero-offset sensitivity</x:v>
      </x:c>
      <x:c r="E82" s="33" t="str">
        <x:v>Additional dependence of the fitted mass effect on preprocessing</x:v>
      </x:c>
      <x:c r="F82" s="33" t="str">
        <x:v>Offset 1e-8 to 1e-6: effect 0.990393 to 0.422869; 95% CI [0.010629, 1.970156] to [-0.157593, 1.003330].</x:v>
      </x:c>
      <x:c r="G82" t="n" s="65">
        <x:v>1</x:v>
      </x:c>
      <x:c r="H82" s="35" t="str">
        <x:v>An executed branch on the same data/model changes effect magnitude and inference, limiting a robust quantitative-effect interpretation. This does not establish a resistance mechanism.</x:v>
      </x:c>
    </x:row>
    <x:row r="83" ht="48" customHeight="1">
      <x:c r="A83" s="32" t="str">
        <x:v>FR-0002</x:v>
      </x:c>
      <x:c r="B83" s="33" t="str">
        <x:v>BioMedAgent</x:v>
      </x:c>
      <x:c r="C83" s="43" t="n">
        <x:v>3</x:v>
      </x:c>
      <x:c r="D83" s="33" t="str">
        <x:v>Exposure differences between trial arms</x:v>
      </x:c>
      <x:c r="E83" s="33" t="str">
        <x:v>Covered by F27 and study background</x:v>
      </x:c>
      <x:c r="F83" s="33" t="str">
        <x:v>Executed arm-specific exposure means and medians.</x:v>
      </x:c>
      <x:c r="G83" t="n" s="65">
        <x:v>0</x:v>
      </x:c>
      <x:c r="H83" s="35" t="str">
        <x:v>Describes treatment assignment and subset selection; no additional dose effect is demonstrated.</x:v>
      </x:c>
    </x:row>
    <x:row r="84" ht="48" customHeight="1">
      <x:c r="A84" s="40" t="str">
        <x:v>FR-0003</x:v>
      </x:c>
      <x:c r="B84" s="41" t="str">
        <x:v>BioMedAgent</x:v>
      </x:c>
      <x:c r="C84" s="42" t="n">
        <x:v>1</x:v>
      </x:c>
      <x:c r="D84" s="41" t="str">
        <x:v>Lower week-52 injury/repair scores</x:v>
      </x:c>
      <x:c r="E84" s="41" t="str">
        <x:v>Covered by F13/F16</x:v>
      </x:c>
      <x:c r="F84" s="41" t="str">
        <x:v>Executed target-visit injury/repair contrasts.</x:v>
      </x:c>
      <x:c r="G84" t="n" s="64">
        <x:v>0</x:v>
      </x:c>
      <x:c r="H84" s="41" t="str">
        <x:v>Changing an annual slope to a target-visit contrast does not add scientific meaning.</x:v>
      </x:c>
    </x:row>
    <x:row r="85" ht="48" customHeight="1">
      <x:c r="A85" s="32" t="str">
        <x:v>FR-0003</x:v>
      </x:c>
      <x:c r="B85" s="33" t="str">
        <x:v>BioMedAgent</x:v>
      </x:c>
      <x:c r="C85" s="43" t="n">
        <x:v>2</x:v>
      </x:c>
      <x:c r="D85" s="33" t="str">
        <x:v>Tissue-composition proxy sensitivity</x:v>
      </x:c>
      <x:c r="E85" s="33" t="str">
        <x:v>Routine adjustment of the main ABMR effect</x:v>
      </x:c>
      <x:c r="F85" s="33" t="str">
        <x:v>ABMR contrast -0.384395 before and -0.381548 after adjustment.</x:v>
      </x:c>
      <x:c r="G85" t="n" s="65">
        <x:v>0</x:v>
      </x:c>
      <x:c r="H85" s="35" t="str">
        <x:v>An expression-derived proxy may lie on the treatment pathway; near-identical estimates do not exclude tissue composition as an explanation.</x:v>
      </x:c>
    </x:row>
    <x:row r="86" ht="48" customHeight="1">
      <x:c r="A86" s="32" t="str">
        <x:v>FR-0003</x:v>
      </x:c>
      <x:c r="B86" s="33" t="str">
        <x:v>BioMedAgent</x:v>
      </x:c>
      <x:c r="C86" s="43" t="n">
        <x:v>3</x:v>
      </x:c>
      <x:c r="D86" s="33" t="str">
        <x:v>Two normal-kidney parenchymal scores</x:v>
      </x:c>
      <x:c r="E86" s="33" t="str">
        <x:v>Additional overall-score endpoints; F10 concerns selected genes</x:v>
      </x:c>
      <x:c r="F86" s="33" t="str">
        <x:v>Executed week-24 transcript and solute-carrier score contrasts with confidence intervals crossing zero.</x:v>
      </x:c>
      <x:c r="G86" t="n" s="65">
        <x:v>0.5</x:v>
      </x:c>
      <x:c r="H86" s="35" t="str">
        <x:v>A meaningful additional lead that remains imprecise; short-term parenchymal recovery or an adverse effect is not established.</x:v>
      </x:c>
    </x:row>
    <x:row r="87" ht="48" customHeight="1">
      <x:c r="A87" s="40" t="str">
        <x:v>FR-0004</x:v>
      </x:c>
      <x:c r="B87" s="41" t="str">
        <x:v>BioMedAgent</x:v>
      </x:c>
      <x:c r="C87" s="42" t="n">
        <x:v>1</x:v>
      </x:c>
      <x:c r="D87" s="41" t="str">
        <x:v>Follow-up distribution and pre-surgery truncation</x:v>
      </x:c>
      <x:c r="E87" s="41" t="str">
        <x:v>Structure and boundaries covered by F8/F10 and the dictionary</x:v>
      </x:c>
      <x:c r="F87" s="41" t="str">
        <x:v>Executed follow-up summaries and truncation counts.</x:v>
      </x:c>
      <x:c r="G87" t="n" s="64">
        <x:v>0</x:v>
      </x:c>
      <x:c r="H87" s="41" t="str">
        <x:v>More detailed counts do not establish an additional scientific relationship.</x:v>
      </x:c>
    </x:row>
    <x:row r="88" ht="48" customHeight="1">
      <x:c r="A88" s="32" t="str">
        <x:v>FR-0004</x:v>
      </x:c>
      <x:c r="B88" s="33" t="str">
        <x:v>BioMedAgent</x:v>
      </x:c>
      <x:c r="C88" s="43" t="n">
        <x:v>2</x:v>
      </x:c>
      <x:c r="D88" s="33" t="str">
        <x:v>No additional finding submitted</x:v>
      </x:c>
      <x:c r="E88" s="33" t="str">
        <x:v>Not applicable</x:v>
      </x:c>
      <x:c r="F88" s="33" t="str">
        <x:v>No designated additional finding</x:v>
      </x:c>
      <x:c r="G88" t="n" s="65">
        <x:v>0</x:v>
      </x:c>
      <x:c r="H88" s="35" t="str">
        <x:v>Unused slot</x:v>
      </x:c>
    </x:row>
    <x:row r="89" ht="48" customHeight="1">
      <x:c r="A89" s="32" t="str">
        <x:v>FR-0004</x:v>
      </x:c>
      <x:c r="B89" s="33" t="str">
        <x:v>BioMedAgent</x:v>
      </x:c>
      <x:c r="C89" s="43" t="n">
        <x:v>3</x:v>
      </x:c>
      <x:c r="D89" s="33" t="str">
        <x:v>No additional finding submitted</x:v>
      </x:c>
      <x:c r="E89" s="33" t="str">
        <x:v>Not applicable</x:v>
      </x:c>
      <x:c r="F89" s="33" t="str">
        <x:v>No designated additional finding</x:v>
      </x:c>
      <x:c r="G89" t="n" s="65">
        <x:v>0</x:v>
      </x:c>
      <x:c r="H89" s="35" t="str">
        <x:v>Unused slot</x:v>
      </x:c>
    </x:row>
    <x:row r="90" ht="48" customHeight="1">
      <x:c r="A90" s="40" t="str">
        <x:v>FR-0005</x:v>
      </x:c>
      <x:c r="B90" s="41" t="str">
        <x:v>BioMedAgent</x:v>
      </x:c>
      <x:c r="C90" s="42" t="n">
        <x:v>1</x:v>
      </x:c>
      <x:c r="D90" s="41" t="str">
        <x:v>No additional finding submitted</x:v>
      </x:c>
      <x:c r="E90" s="41" t="str">
        <x:v>Not applicable</x:v>
      </x:c>
      <x:c r="F90" s="41" t="str">
        <x:v>No designated additional finding</x:v>
      </x:c>
      <x:c r="G90" t="n" s="64">
        <x:v>0</x:v>
      </x:c>
      <x:c r="H90" s="41" t="str">
        <x:v>Unused slot</x:v>
      </x:c>
    </x:row>
    <x:row r="91" ht="48" customHeight="1">
      <x:c r="A91" s="32" t="str">
        <x:v>FR-0005</x:v>
      </x:c>
      <x:c r="B91" s="33" t="str">
        <x:v>BioMedAgent</x:v>
      </x:c>
      <x:c r="C91" s="43" t="n">
        <x:v>2</x:v>
      </x:c>
      <x:c r="D91" s="33" t="str">
        <x:v>No additional finding submitted</x:v>
      </x:c>
      <x:c r="E91" s="33" t="str">
        <x:v>Not applicable</x:v>
      </x:c>
      <x:c r="F91" s="33" t="str">
        <x:v>No designated additional finding</x:v>
      </x:c>
      <x:c r="G91" t="n" s="65">
        <x:v>0</x:v>
      </x:c>
      <x:c r="H91" s="35" t="str">
        <x:v>Unused slot</x:v>
      </x:c>
    </x:row>
    <x:row r="92" ht="48" customHeight="1">
      <x:c r="A92" s="36" t="str">
        <x:v>FR-0005</x:v>
      </x:c>
      <x:c r="B92" s="37" t="str">
        <x:v>BioMedAgent</x:v>
      </x:c>
      <x:c r="C92" s="44" t="n">
        <x:v>3</x:v>
      </x:c>
      <x:c r="D92" s="37" t="str">
        <x:v>No additional finding submitted</x:v>
      </x:c>
      <x:c r="E92" s="37" t="str">
        <x:v>Not applicable</x:v>
      </x:c>
      <x:c r="F92" s="37" t="str">
        <x:v>No designated additional finding</x:v>
      </x:c>
      <x:c r="G92" t="n" s="66">
        <x:v>0</x:v>
      </x:c>
      <x:c r="H92" s="39" t="str">
        <x:v>Unused slot</x:v>
      </x:c>
    </x:row>
  </x:sheetData>
  <x:mergeCells>
    <x:mergeCell ref="A1:H1"/>
  </x:mergeCells>
  <x:pageMargins left="0.7" right="0.7" top="0.75" bottom="0.75" header="0.3" footer="0.3"/>
  <x:tableParts count="1">
    <x:tablePart xmlns:r="http://schemas.openxmlformats.org/officeDocument/2006/relationships" r:id="Ra9fbab08c15d4dd0"/>
  </x:tableParts>
</x:worksheet>
</file>